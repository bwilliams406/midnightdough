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 Prices" sheetId="1" state="visible" r:id="rId1"/>
    <sheet xmlns:r="http://schemas.openxmlformats.org/officeDocument/2006/relationships" name="Recipe Database" sheetId="2" state="visible" r:id="rId2"/>
    <sheet xmlns:r="http://schemas.openxmlformats.org/officeDocument/2006/relationships" name="Batch Calculator" sheetId="3" state="visible" r:id="rId3"/>
    <sheet xmlns:r="http://schemas.openxmlformats.org/officeDocument/2006/relationships" name="Order Calculator" sheetId="4" state="visible" r:id="rId4"/>
    <sheet xmlns:r="http://schemas.openxmlformats.org/officeDocument/2006/relationships" name="Shopping List" sheetId="5" state="visible" r:id="rId5"/>
    <sheet xmlns:r="http://schemas.openxmlformats.org/officeDocument/2006/relationships" name="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#,##0 &quot;g&quot;"/>
    <numFmt numFmtId="167" formatCode="#,##0.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color rgb="00FFFFFF"/>
    </font>
    <font>
      <b val="1"/>
    </font>
    <font>
      <i val="1"/>
      <color rgb="00666666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3e2723"/>
        <bgColor rgb="003e2723"/>
      </patternFill>
    </fill>
    <fill>
      <patternFill patternType="solid">
        <fgColor rgb="008d6e63"/>
        <bgColor rgb="008d6e63"/>
      </patternFill>
    </fill>
    <fill>
      <patternFill patternType="solid">
        <fgColor rgb="00fffde7"/>
        <bgColor rgb="00fffde7"/>
      </patternFill>
    </fill>
    <fill>
      <patternFill patternType="solid">
        <fgColor rgb="00efebe9"/>
        <bgColor rgb="00efebe9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4" borderId="1" pivotButton="0" quotePrefix="0" xfId="0"/>
    <xf numFmtId="165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5" fillId="0" borderId="0" pivotButton="0" quotePrefix="0" xfId="0"/>
    <xf numFmtId="0" fontId="0" fillId="4" borderId="1" pivotButton="0" quotePrefix="0" xfId="0"/>
    <xf numFmtId="166" fontId="0" fillId="0" borderId="1" pivotButton="0" quotePrefix="0" xfId="0"/>
    <xf numFmtId="164" fontId="0" fillId="5" borderId="1" pivotButton="0" quotePrefix="0" xfId="0"/>
    <xf numFmtId="2" fontId="0" fillId="12" borderId="1" pivotButton="0" quotePrefix="0" xfId="0"/>
    <xf numFmtId="0" fontId="6" fillId="0" borderId="0" pivotButton="0" quotePrefix="0" xfId="0"/>
    <xf numFmtId="4" fontId="0" fillId="0" borderId="1" pivotButton="0" quotePrefix="0" xfId="0"/>
    <xf numFmtId="167" fontId="0" fillId="6" borderId="1" pivotButton="0" quotePrefix="0" xfId="0"/>
    <xf numFmtId="165" fontId="0" fillId="0" borderId="1" pivotButton="0" quotePrefix="0" xfId="0"/>
    <xf numFmtId="0" fontId="7" fillId="0" borderId="0" pivotButton="0" quotePrefix="0" xfId="0"/>
    <xf numFmtId="164" fontId="7" fillId="13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13" borderId="1" pivotButton="0" quotePrefix="0" xfId="0"/>
    <xf numFmtId="164" fontId="0" fillId="0" borderId="1" pivotButton="0" quotePrefix="0" xfId="0"/>
    <xf numFmtId="164" fontId="5" fillId="13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8" customWidth="1" min="5" max="5"/>
    <col width="25" customWidth="1" min="6" max="6"/>
  </cols>
  <sheetData>
    <row r="1">
      <c r="A1" s="1" t="inlineStr">
        <is>
          <t>🍪 MIDNIGHT DOUGH - INGREDIENT PRICE DATABASE</t>
        </is>
      </c>
    </row>
    <row r="2">
      <c r="A2" s="2" t="inlineStr">
        <is>
          <t>Edit Package Price - Price per Unit calculates automatically</t>
        </is>
      </c>
    </row>
    <row r="4">
      <c r="A4" s="3" t="inlineStr">
        <is>
          <t>Ingredient</t>
        </is>
      </c>
      <c r="B4" s="3" t="inlineStr">
        <is>
          <t>Unit</t>
        </is>
      </c>
      <c r="C4" s="3" t="inlineStr">
        <is>
          <t>Package Size</t>
        </is>
      </c>
      <c r="D4" s="3" t="inlineStr">
        <is>
          <t>Package Price ($)</t>
        </is>
      </c>
      <c r="E4" s="3" t="inlineStr">
        <is>
          <t>Price per Unit</t>
        </is>
      </c>
      <c r="F4" s="3" t="inlineStr">
        <is>
          <t>Notes</t>
        </is>
      </c>
    </row>
    <row r="5">
      <c r="A5" s="4" t="inlineStr">
        <is>
          <t>Unsalted Butter</t>
        </is>
      </c>
      <c r="B5" s="4" t="inlineStr">
        <is>
          <t>g</t>
        </is>
      </c>
      <c r="C5" s="4" t="n">
        <v>454</v>
      </c>
      <c r="D5" s="5" t="n">
        <v>2.69</v>
      </c>
      <c r="E5" s="6">
        <f>D5/C5</f>
        <v/>
      </c>
      <c r="F5" s="4" t="inlineStr">
        <is>
          <t>Standard 1lb block</t>
        </is>
      </c>
    </row>
    <row r="6">
      <c r="A6" s="4" t="inlineStr">
        <is>
          <t>Vegetable Shortening</t>
        </is>
      </c>
      <c r="B6" s="4" t="inlineStr">
        <is>
          <t>g</t>
        </is>
      </c>
      <c r="C6" s="4" t="n">
        <v>1360</v>
      </c>
      <c r="D6" s="5" t="n">
        <v>6.49</v>
      </c>
      <c r="E6" s="6">
        <f>D6/C6</f>
        <v/>
      </c>
      <c r="F6" s="4" t="inlineStr">
        <is>
          <t>Crisco 48oz</t>
        </is>
      </c>
    </row>
    <row r="7">
      <c r="A7" s="4" t="inlineStr">
        <is>
          <t>Granulated Sugar</t>
        </is>
      </c>
      <c r="B7" s="4" t="inlineStr">
        <is>
          <t>g</t>
        </is>
      </c>
      <c r="C7" s="4" t="n">
        <v>22679</v>
      </c>
      <c r="D7" s="5" t="n">
        <v>31.39</v>
      </c>
      <c r="E7" s="6">
        <f>D7/C7</f>
        <v/>
      </c>
      <c r="F7" s="4" t="inlineStr">
        <is>
          <t>4lb bag</t>
        </is>
      </c>
    </row>
    <row r="8">
      <c r="A8" s="4" t="inlineStr">
        <is>
          <t>Brown Sugar (Light)</t>
        </is>
      </c>
      <c r="B8" s="4" t="inlineStr">
        <is>
          <t>g</t>
        </is>
      </c>
      <c r="C8" s="4" t="n">
        <v>22679</v>
      </c>
      <c r="D8" s="5" t="n">
        <v>57.29</v>
      </c>
      <c r="E8" s="6">
        <f>D8/C8</f>
        <v/>
      </c>
      <c r="F8" s="4" t="inlineStr">
        <is>
          <t>2lb bag</t>
        </is>
      </c>
    </row>
    <row r="9">
      <c r="A9" s="4" t="inlineStr">
        <is>
          <t>Brown Sugar (Dark)</t>
        </is>
      </c>
      <c r="B9" s="4" t="inlineStr">
        <is>
          <t>g</t>
        </is>
      </c>
      <c r="C9" s="4" t="n">
        <v>22679</v>
      </c>
      <c r="D9" s="5" t="n">
        <v>57.29</v>
      </c>
      <c r="E9" s="6">
        <f>D9/C9</f>
        <v/>
      </c>
      <c r="F9" s="4" t="inlineStr">
        <is>
          <t>2lb bag</t>
        </is>
      </c>
    </row>
    <row r="10">
      <c r="A10" s="4" t="inlineStr">
        <is>
          <t>Powdered Sugar</t>
        </is>
      </c>
      <c r="B10" s="4" t="inlineStr">
        <is>
          <t>g</t>
        </is>
      </c>
      <c r="C10" s="4" t="n">
        <v>907</v>
      </c>
      <c r="D10" s="5" t="n">
        <v>2.99</v>
      </c>
      <c r="E10" s="6">
        <f>D10/C10</f>
        <v/>
      </c>
      <c r="F10" s="4" t="inlineStr">
        <is>
          <t>2lb bag</t>
        </is>
      </c>
    </row>
    <row r="11">
      <c r="A11" s="4" t="inlineStr">
        <is>
          <t>All-Purpose Flour</t>
        </is>
      </c>
      <c r="B11" s="4" t="inlineStr">
        <is>
          <t>g</t>
        </is>
      </c>
      <c r="C11" s="4" t="n">
        <v>22679</v>
      </c>
      <c r="D11" s="5" t="n">
        <v>18.49</v>
      </c>
      <c r="E11" s="6">
        <f>D11/C11</f>
        <v/>
      </c>
      <c r="F11" s="4" t="inlineStr">
        <is>
          <t>5lb bag</t>
        </is>
      </c>
    </row>
    <row r="12">
      <c r="A12" s="4" t="inlineStr">
        <is>
          <t>Cornstarch</t>
        </is>
      </c>
      <c r="B12" s="4" t="inlineStr">
        <is>
          <t>g</t>
        </is>
      </c>
      <c r="C12" s="4" t="n">
        <v>454</v>
      </c>
      <c r="D12" s="5" t="n">
        <v>2.99</v>
      </c>
      <c r="E12" s="6">
        <f>D12/C12</f>
        <v/>
      </c>
      <c r="F12" s="4" t="inlineStr">
        <is>
          <t>1lb box</t>
        </is>
      </c>
    </row>
    <row r="13">
      <c r="A13" s="4" t="inlineStr">
        <is>
          <t>Dutch-Process Cocoa</t>
        </is>
      </c>
      <c r="B13" s="4" t="inlineStr">
        <is>
          <t>g</t>
        </is>
      </c>
      <c r="C13" s="4" t="n">
        <v>227</v>
      </c>
      <c r="D13" s="5" t="n">
        <v>8.99</v>
      </c>
      <c r="E13" s="6">
        <f>D13/C13</f>
        <v/>
      </c>
      <c r="F13" s="4" t="inlineStr">
        <is>
          <t>8oz premium</t>
        </is>
      </c>
    </row>
    <row r="14">
      <c r="A14" s="4" t="inlineStr">
        <is>
          <t>Old-Fashioned Oats</t>
        </is>
      </c>
      <c r="B14" s="4" t="inlineStr">
        <is>
          <t>g</t>
        </is>
      </c>
      <c r="C14" s="4" t="n">
        <v>1134</v>
      </c>
      <c r="D14" s="5" t="n">
        <v>4.99</v>
      </c>
      <c r="E14" s="6">
        <f>D14/C14</f>
        <v/>
      </c>
      <c r="F14" s="4" t="inlineStr">
        <is>
          <t>40oz container</t>
        </is>
      </c>
    </row>
    <row r="15">
      <c r="A15" s="4" t="inlineStr">
        <is>
          <t>Baking Powder</t>
        </is>
      </c>
      <c r="B15" s="4" t="inlineStr">
        <is>
          <t>g</t>
        </is>
      </c>
      <c r="C15" s="4" t="n">
        <v>2267</v>
      </c>
      <c r="D15" s="5" t="n">
        <v>21.99</v>
      </c>
      <c r="E15" s="6">
        <f>D15/C15</f>
        <v/>
      </c>
      <c r="F15" s="4" t="inlineStr">
        <is>
          <t>10oz can</t>
        </is>
      </c>
    </row>
    <row r="16">
      <c r="A16" s="4" t="inlineStr">
        <is>
          <t>Baking Soda</t>
        </is>
      </c>
      <c r="B16" s="4" t="inlineStr">
        <is>
          <t>g</t>
        </is>
      </c>
      <c r="C16" s="4" t="n">
        <v>2267</v>
      </c>
      <c r="D16" s="5" t="n">
        <v>7.99</v>
      </c>
      <c r="E16" s="6">
        <f>D16/C16</f>
        <v/>
      </c>
      <c r="F16" s="4" t="inlineStr">
        <is>
          <t>1lb box</t>
        </is>
      </c>
    </row>
    <row r="17">
      <c r="A17" s="4" t="inlineStr">
        <is>
          <t>Cream of Tartar</t>
        </is>
      </c>
      <c r="B17" s="4" t="inlineStr">
        <is>
          <t>g</t>
        </is>
      </c>
      <c r="C17" s="4" t="n">
        <v>907</v>
      </c>
      <c r="D17" s="5" t="n">
        <v>10.99</v>
      </c>
      <c r="E17" s="6">
        <f>D17/C17</f>
        <v/>
      </c>
      <c r="F17" s="4" t="inlineStr">
        <is>
          <t>3oz jar</t>
        </is>
      </c>
    </row>
    <row r="18">
      <c r="A18" s="4" t="inlineStr">
        <is>
          <t>Eggs (large)</t>
        </is>
      </c>
      <c r="B18" s="4" t="inlineStr">
        <is>
          <t>each</t>
        </is>
      </c>
      <c r="C18" s="4" t="n">
        <v>180</v>
      </c>
      <c r="D18" s="5" t="n">
        <v>39.99</v>
      </c>
      <c r="E18" s="6">
        <f>D18/C18</f>
        <v/>
      </c>
      <c r="F18" s="4" t="inlineStr">
        <is>
          <t>Dozen</t>
        </is>
      </c>
    </row>
    <row r="19">
      <c r="A19" s="4" t="inlineStr">
        <is>
          <t>Egg Yolk</t>
        </is>
      </c>
      <c r="B19" s="4" t="inlineStr">
        <is>
          <t>each</t>
        </is>
      </c>
      <c r="C19" s="4" t="n">
        <v>180</v>
      </c>
      <c r="D19" s="5" t="n">
        <v>39.99</v>
      </c>
      <c r="E19" s="6">
        <f>D19/C19</f>
        <v/>
      </c>
      <c r="F19" s="4" t="inlineStr">
        <is>
          <t>From dozen</t>
        </is>
      </c>
    </row>
    <row r="20">
      <c r="A20" s="4" t="inlineStr">
        <is>
          <t>Sour Cream</t>
        </is>
      </c>
      <c r="B20" s="4" t="inlineStr">
        <is>
          <t>g</t>
        </is>
      </c>
      <c r="C20" s="4" t="n">
        <v>454</v>
      </c>
      <c r="D20" s="5" t="n">
        <v>2.99</v>
      </c>
      <c r="E20" s="6">
        <f>D20/C20</f>
        <v/>
      </c>
      <c r="F20" s="4" t="inlineStr">
        <is>
          <t>16oz container</t>
        </is>
      </c>
    </row>
    <row r="21">
      <c r="A21" s="4" t="inlineStr">
        <is>
          <t>Cream Cheese</t>
        </is>
      </c>
      <c r="B21" s="4" t="inlineStr">
        <is>
          <t>g</t>
        </is>
      </c>
      <c r="C21" s="4" t="n">
        <v>227</v>
      </c>
      <c r="D21" s="5" t="n">
        <v>3.49</v>
      </c>
      <c r="E21" s="6">
        <f>D21/C21</f>
        <v/>
      </c>
      <c r="F21" s="4" t="inlineStr">
        <is>
          <t>8oz block</t>
        </is>
      </c>
    </row>
    <row r="22">
      <c r="A22" s="4" t="inlineStr">
        <is>
          <t>Vanilla Extract</t>
        </is>
      </c>
      <c r="B22" s="4" t="inlineStr">
        <is>
          <t>g</t>
        </is>
      </c>
      <c r="C22" s="4" t="n">
        <v>907</v>
      </c>
      <c r="D22" s="5" t="n">
        <v>41.99</v>
      </c>
      <c r="E22" s="6">
        <f>D22/C22</f>
        <v/>
      </c>
      <c r="F22" s="4" t="inlineStr">
        <is>
          <t>4oz pure vanilla</t>
        </is>
      </c>
    </row>
    <row r="23">
      <c r="A23" s="4" t="inlineStr">
        <is>
          <t>Lemon Juice (fresh)</t>
        </is>
      </c>
      <c r="B23" s="4" t="inlineStr">
        <is>
          <t>tbsp</t>
        </is>
      </c>
      <c r="C23" s="4" t="n">
        <v>16</v>
      </c>
      <c r="D23" s="5" t="n">
        <v>0.5</v>
      </c>
      <c r="E23" s="6">
        <f>D23/C23</f>
        <v/>
      </c>
      <c r="F23" s="4" t="inlineStr">
        <is>
          <t>Per lemon ~3tbsp</t>
        </is>
      </c>
    </row>
    <row r="24">
      <c r="A24" s="4" t="inlineStr">
        <is>
          <t>Lemon Zest</t>
        </is>
      </c>
      <c r="B24" s="4" t="inlineStr">
        <is>
          <t>tbsp</t>
        </is>
      </c>
      <c r="C24" s="4" t="n">
        <v>16</v>
      </c>
      <c r="D24" s="5" t="n">
        <v>0.5</v>
      </c>
      <c r="E24" s="6">
        <f>D24/C24</f>
        <v/>
      </c>
      <c r="F24" s="4" t="inlineStr">
        <is>
          <t>Per lemon ~1tbsp</t>
        </is>
      </c>
    </row>
    <row r="25">
      <c r="A25" s="4" t="inlineStr">
        <is>
          <t>Lemon Extract</t>
        </is>
      </c>
      <c r="B25" s="4" t="inlineStr">
        <is>
          <t>g</t>
        </is>
      </c>
      <c r="C25" s="4" t="n">
        <v>59</v>
      </c>
      <c r="D25" s="5" t="n">
        <v>4.99</v>
      </c>
      <c r="E25" s="6">
        <f>D25/C25</f>
        <v/>
      </c>
      <c r="F25" s="4" t="inlineStr">
        <is>
          <t>2oz bottle</t>
        </is>
      </c>
    </row>
    <row r="26">
      <c r="A26" s="4" t="inlineStr">
        <is>
          <t>Espresso Powder</t>
        </is>
      </c>
      <c r="B26" s="4" t="inlineStr">
        <is>
          <t>g</t>
        </is>
      </c>
      <c r="C26" s="4" t="n">
        <v>57</v>
      </c>
      <c r="D26" s="5" t="n">
        <v>5.5</v>
      </c>
      <c r="E26" s="6">
        <f>D26/C26</f>
        <v/>
      </c>
      <c r="F26" s="4" t="inlineStr">
        <is>
          <t>2oz jar</t>
        </is>
      </c>
    </row>
    <row r="27">
      <c r="A27" s="4" t="inlineStr">
        <is>
          <t>Ground Cinnamon</t>
        </is>
      </c>
      <c r="B27" s="4" t="inlineStr">
        <is>
          <t>g</t>
        </is>
      </c>
      <c r="C27" s="4" t="n">
        <v>2267</v>
      </c>
      <c r="D27" s="5" t="n">
        <v>38.59</v>
      </c>
      <c r="E27" s="6">
        <f>D27/C27</f>
        <v/>
      </c>
      <c r="F27" s="4" t="inlineStr">
        <is>
          <t>2.4oz jar</t>
        </is>
      </c>
    </row>
    <row r="28">
      <c r="A28" s="4" t="inlineStr">
        <is>
          <t>Nutmeg</t>
        </is>
      </c>
      <c r="B28" s="4" t="inlineStr">
        <is>
          <t>g</t>
        </is>
      </c>
      <c r="C28" s="4" t="n">
        <v>62</v>
      </c>
      <c r="D28" s="5" t="n">
        <v>5.99</v>
      </c>
      <c r="E28" s="6">
        <f>D28/C28</f>
        <v/>
      </c>
      <c r="F28" s="4" t="inlineStr">
        <is>
          <t>2.2oz jar</t>
        </is>
      </c>
    </row>
    <row r="29">
      <c r="A29" s="4" t="inlineStr">
        <is>
          <t>Salt (Kosher)</t>
        </is>
      </c>
      <c r="B29" s="4" t="inlineStr">
        <is>
          <t>g</t>
        </is>
      </c>
      <c r="C29" s="4" t="n">
        <v>11339</v>
      </c>
      <c r="D29" s="5" t="n">
        <v>9</v>
      </c>
      <c r="E29" s="6">
        <f>D29/C29</f>
        <v/>
      </c>
      <c r="F29" s="4" t="inlineStr">
        <is>
          <t>3lb box</t>
        </is>
      </c>
    </row>
    <row r="30">
      <c r="A30" s="4" t="inlineStr">
        <is>
          <t>Flaky Sea Salt</t>
        </is>
      </c>
      <c r="B30" s="4" t="inlineStr">
        <is>
          <t>g</t>
        </is>
      </c>
      <c r="C30" s="4" t="n">
        <v>113</v>
      </c>
      <c r="D30" s="5" t="n">
        <v>6.99</v>
      </c>
      <c r="E30" s="6">
        <f>D30/C30</f>
        <v/>
      </c>
      <c r="F30" s="4" t="inlineStr">
        <is>
          <t>4oz Maldon</t>
        </is>
      </c>
    </row>
    <row r="31">
      <c r="A31" s="4" t="inlineStr">
        <is>
          <t>Chocolate Chips</t>
        </is>
      </c>
      <c r="B31" s="4" t="inlineStr">
        <is>
          <t>g</t>
        </is>
      </c>
      <c r="C31" s="4" t="n">
        <v>11339</v>
      </c>
      <c r="D31" s="5" t="n">
        <v>94.98999999999999</v>
      </c>
      <c r="E31" s="6">
        <f>D31/C31</f>
        <v/>
      </c>
      <c r="F31" s="4" t="inlineStr">
        <is>
          <t>12oz bag</t>
        </is>
      </c>
    </row>
    <row r="32">
      <c r="A32" s="4" t="inlineStr">
        <is>
          <t>Dark Chocolate Chunks</t>
        </is>
      </c>
      <c r="B32" s="4" t="inlineStr">
        <is>
          <t>g</t>
        </is>
      </c>
      <c r="C32" s="4" t="n">
        <v>283</v>
      </c>
      <c r="D32" s="5" t="n">
        <v>6.99</v>
      </c>
      <c r="E32" s="6">
        <f>D32/C32</f>
        <v/>
      </c>
      <c r="F32" s="4" t="inlineStr">
        <is>
          <t>10oz premium</t>
        </is>
      </c>
    </row>
    <row r="33">
      <c r="A33" s="4" t="inlineStr">
        <is>
          <t>Raisins</t>
        </is>
      </c>
      <c r="B33" s="4" t="inlineStr">
        <is>
          <t>g</t>
        </is>
      </c>
      <c r="C33" s="4" t="n">
        <v>425</v>
      </c>
      <c r="D33" s="5" t="n">
        <v>4.49</v>
      </c>
      <c r="E33" s="6">
        <f>D33/C33</f>
        <v/>
      </c>
      <c r="F33" s="4" t="inlineStr">
        <is>
          <t>15oz box</t>
        </is>
      </c>
    </row>
    <row r="34">
      <c r="A34" s="4" t="inlineStr">
        <is>
          <t>Walnuts (chopped)</t>
        </is>
      </c>
      <c r="B34" s="4" t="inlineStr">
        <is>
          <t>g</t>
        </is>
      </c>
      <c r="C34" s="4" t="n">
        <v>227</v>
      </c>
      <c r="D34" s="5" t="n">
        <v>7.99</v>
      </c>
      <c r="E34" s="6">
        <f>D34/C34</f>
        <v/>
      </c>
      <c r="F34" s="4" t="inlineStr">
        <is>
          <t>8oz bag</t>
        </is>
      </c>
    </row>
    <row r="35">
      <c r="A35" s="4" t="inlineStr">
        <is>
          <t>Pecans (chopped)</t>
        </is>
      </c>
      <c r="B35" s="4" t="inlineStr">
        <is>
          <t>g</t>
        </is>
      </c>
      <c r="C35" s="4" t="n">
        <v>227</v>
      </c>
      <c r="D35" s="5" t="n">
        <v>9.99</v>
      </c>
      <c r="E35" s="6">
        <f>D35/C35</f>
        <v/>
      </c>
      <c r="F35" s="4" t="inlineStr">
        <is>
          <t>8oz bag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5" customWidth="1" min="4" max="4"/>
    <col width="25" customWidth="1" min="5" max="5"/>
    <col width="10" customWidth="1" min="6" max="6"/>
    <col width="8" customWidth="1" min="7" max="7"/>
    <col width="12" customWidth="1" min="8" max="8"/>
  </cols>
  <sheetData>
    <row r="1">
      <c r="A1" s="1" t="inlineStr">
        <is>
          <t>🍪 MIDNIGHT DOUGH - RECIPE DATABASE</t>
        </is>
      </c>
    </row>
    <row r="3">
      <c r="A3" s="3" t="inlineStr">
        <is>
          <t>Recipe Name</t>
        </is>
      </c>
      <c r="B3" s="3" t="inlineStr">
        <is>
          <t>Base Yield</t>
        </is>
      </c>
      <c r="C3" s="3" t="inlineStr">
        <is>
          <t>Base Size (g)</t>
        </is>
      </c>
      <c r="D3" s="3" t="inlineStr">
        <is>
          <t>Total Dough (g)</t>
        </is>
      </c>
      <c r="E3" s="3" t="inlineStr">
        <is>
          <t>Ingredient</t>
        </is>
      </c>
      <c r="F3" s="3" t="inlineStr">
        <is>
          <t>Amount</t>
        </is>
      </c>
      <c r="G3" s="3" t="inlineStr">
        <is>
          <t>Unit</t>
        </is>
      </c>
      <c r="H3" s="3" t="inlineStr">
        <is>
          <t>Category</t>
        </is>
      </c>
    </row>
    <row r="4">
      <c r="A4" s="7" t="inlineStr">
        <is>
          <t>Sugar Cookie</t>
        </is>
      </c>
      <c r="B4" s="7" t="n">
        <v>24</v>
      </c>
      <c r="C4" s="7" t="n">
        <v>48</v>
      </c>
      <c r="D4" s="7" t="n">
        <v>1152</v>
      </c>
      <c r="E4" s="7" t="inlineStr">
        <is>
          <t>Unsalted Butter</t>
        </is>
      </c>
      <c r="F4" s="7" t="n">
        <v>170</v>
      </c>
      <c r="G4" s="7" t="inlineStr">
        <is>
          <t>g</t>
        </is>
      </c>
      <c r="H4" s="7" t="inlineStr">
        <is>
          <t>Wet</t>
        </is>
      </c>
    </row>
    <row r="5">
      <c r="A5" s="7" t="inlineStr">
        <is>
          <t>Sugar Cookie</t>
        </is>
      </c>
      <c r="B5" s="7" t="n">
        <v>24</v>
      </c>
      <c r="C5" s="7" t="n">
        <v>48</v>
      </c>
      <c r="D5" s="7" t="n">
        <v>1152</v>
      </c>
      <c r="E5" s="7" t="inlineStr">
        <is>
          <t>Granulated Sugar</t>
        </is>
      </c>
      <c r="F5" s="7" t="n">
        <v>250</v>
      </c>
      <c r="G5" s="7" t="inlineStr">
        <is>
          <t>g</t>
        </is>
      </c>
      <c r="H5" s="7" t="inlineStr">
        <is>
          <t>Wet</t>
        </is>
      </c>
    </row>
    <row r="6">
      <c r="A6" s="7" t="inlineStr">
        <is>
          <t>Sugar Cookie</t>
        </is>
      </c>
      <c r="B6" s="7" t="n">
        <v>24</v>
      </c>
      <c r="C6" s="7" t="n">
        <v>48</v>
      </c>
      <c r="D6" s="7" t="n">
        <v>1152</v>
      </c>
      <c r="E6" s="7" t="inlineStr">
        <is>
          <t>Eggs (large)</t>
        </is>
      </c>
      <c r="F6" s="7" t="n">
        <v>1</v>
      </c>
      <c r="G6" s="7" t="inlineStr">
        <is>
          <t>each</t>
        </is>
      </c>
      <c r="H6" s="7" t="inlineStr">
        <is>
          <t>Wet</t>
        </is>
      </c>
    </row>
    <row r="7">
      <c r="A7" s="7" t="inlineStr">
        <is>
          <t>Sugar Cookie</t>
        </is>
      </c>
      <c r="B7" s="7" t="n">
        <v>24</v>
      </c>
      <c r="C7" s="7" t="n">
        <v>48</v>
      </c>
      <c r="D7" s="7" t="n">
        <v>1152</v>
      </c>
      <c r="E7" s="7" t="inlineStr">
        <is>
          <t>Vanilla Extract</t>
        </is>
      </c>
      <c r="F7" s="7" t="n">
        <v>8</v>
      </c>
      <c r="G7" s="7" t="inlineStr">
        <is>
          <t>g</t>
        </is>
      </c>
      <c r="H7" s="7" t="inlineStr">
        <is>
          <t>Wet</t>
        </is>
      </c>
    </row>
    <row r="8">
      <c r="A8" s="7" t="inlineStr">
        <is>
          <t>Sugar Cookie</t>
        </is>
      </c>
      <c r="B8" s="7" t="n">
        <v>24</v>
      </c>
      <c r="C8" s="7" t="n">
        <v>48</v>
      </c>
      <c r="D8" s="7" t="n">
        <v>1152</v>
      </c>
      <c r="E8" s="7" t="inlineStr">
        <is>
          <t>Sour Cream</t>
        </is>
      </c>
      <c r="F8" s="7" t="n">
        <v>30</v>
      </c>
      <c r="G8" s="7" t="inlineStr">
        <is>
          <t>g</t>
        </is>
      </c>
      <c r="H8" s="7" t="inlineStr">
        <is>
          <t>Wet</t>
        </is>
      </c>
    </row>
    <row r="9">
      <c r="A9" s="7" t="inlineStr">
        <is>
          <t>Sugar Cookie</t>
        </is>
      </c>
      <c r="B9" s="7" t="n">
        <v>24</v>
      </c>
      <c r="C9" s="7" t="n">
        <v>48</v>
      </c>
      <c r="D9" s="7" t="n">
        <v>1152</v>
      </c>
      <c r="E9" s="7" t="inlineStr">
        <is>
          <t>All-Purpose Flour</t>
        </is>
      </c>
      <c r="F9" s="7" t="n">
        <v>345</v>
      </c>
      <c r="G9" s="7" t="inlineStr">
        <is>
          <t>g</t>
        </is>
      </c>
      <c r="H9" s="7" t="inlineStr">
        <is>
          <t>Dry</t>
        </is>
      </c>
    </row>
    <row r="10">
      <c r="A10" s="7" t="inlineStr">
        <is>
          <t>Sugar Cookie</t>
        </is>
      </c>
      <c r="B10" s="7" t="n">
        <v>24</v>
      </c>
      <c r="C10" s="7" t="n">
        <v>48</v>
      </c>
      <c r="D10" s="7" t="n">
        <v>1152</v>
      </c>
      <c r="E10" s="7" t="inlineStr">
        <is>
          <t>Cornstarch</t>
        </is>
      </c>
      <c r="F10" s="7" t="n">
        <v>8</v>
      </c>
      <c r="G10" s="7" t="inlineStr">
        <is>
          <t>g</t>
        </is>
      </c>
      <c r="H10" s="7" t="inlineStr">
        <is>
          <t>Dry</t>
        </is>
      </c>
    </row>
    <row r="11">
      <c r="A11" s="7" t="inlineStr">
        <is>
          <t>Sugar Cookie</t>
        </is>
      </c>
      <c r="B11" s="7" t="n">
        <v>24</v>
      </c>
      <c r="C11" s="7" t="n">
        <v>48</v>
      </c>
      <c r="D11" s="7" t="n">
        <v>1152</v>
      </c>
      <c r="E11" s="7" t="inlineStr">
        <is>
          <t>Baking Powder</t>
        </is>
      </c>
      <c r="F11" s="7" t="n">
        <v>5</v>
      </c>
      <c r="G11" s="7" t="inlineStr">
        <is>
          <t>g</t>
        </is>
      </c>
      <c r="H11" s="7" t="inlineStr">
        <is>
          <t>Dry</t>
        </is>
      </c>
    </row>
    <row r="12">
      <c r="A12" s="7" t="inlineStr">
        <is>
          <t>Sugar Cookie</t>
        </is>
      </c>
      <c r="B12" s="7" t="n">
        <v>24</v>
      </c>
      <c r="C12" s="7" t="n">
        <v>48</v>
      </c>
      <c r="D12" s="7" t="n">
        <v>1152</v>
      </c>
      <c r="E12" s="7" t="inlineStr">
        <is>
          <t>Baking Soda</t>
        </is>
      </c>
      <c r="F12" s="7" t="n">
        <v>3</v>
      </c>
      <c r="G12" s="7" t="inlineStr">
        <is>
          <t>g</t>
        </is>
      </c>
      <c r="H12" s="7" t="inlineStr">
        <is>
          <t>Dry</t>
        </is>
      </c>
    </row>
    <row r="13">
      <c r="A13" s="7" t="inlineStr">
        <is>
          <t>Sugar Cookie</t>
        </is>
      </c>
      <c r="B13" s="7" t="n">
        <v>24</v>
      </c>
      <c r="C13" s="7" t="n">
        <v>48</v>
      </c>
      <c r="D13" s="7" t="n">
        <v>1152</v>
      </c>
      <c r="E13" s="7" t="inlineStr">
        <is>
          <t>Salt (Kosher)</t>
        </is>
      </c>
      <c r="F13" s="7" t="n">
        <v>4</v>
      </c>
      <c r="G13" s="7" t="inlineStr">
        <is>
          <t>g</t>
        </is>
      </c>
      <c r="H13" s="7" t="inlineStr">
        <is>
          <t>Dry</t>
        </is>
      </c>
    </row>
    <row r="14">
      <c r="A14" s="7" t="inlineStr">
        <is>
          <t>Sugar Cookie</t>
        </is>
      </c>
      <c r="B14" s="7" t="n">
        <v>24</v>
      </c>
      <c r="C14" s="7" t="n">
        <v>48</v>
      </c>
      <c r="D14" s="7" t="n">
        <v>1152</v>
      </c>
      <c r="E14" s="7" t="inlineStr">
        <is>
          <t>Granulated Sugar</t>
        </is>
      </c>
      <c r="F14" s="7" t="n">
        <v>50</v>
      </c>
      <c r="G14" s="7" t="inlineStr">
        <is>
          <t>g</t>
        </is>
      </c>
      <c r="H14" s="7" t="inlineStr">
        <is>
          <t>Rolling</t>
        </is>
      </c>
    </row>
    <row r="15">
      <c r="A15" s="8" t="inlineStr">
        <is>
          <t>Snickerdoodle</t>
        </is>
      </c>
      <c r="B15" s="8" t="n">
        <v>24</v>
      </c>
      <c r="C15" s="8" t="n">
        <v>50</v>
      </c>
      <c r="D15" s="8" t="n">
        <v>1200</v>
      </c>
      <c r="E15" s="8" t="inlineStr">
        <is>
          <t>All-Purpose Flour</t>
        </is>
      </c>
      <c r="F15" s="8" t="n">
        <v>375</v>
      </c>
      <c r="G15" s="8" t="inlineStr">
        <is>
          <t>g</t>
        </is>
      </c>
      <c r="H15" s="8" t="inlineStr">
        <is>
          <t>Dry</t>
        </is>
      </c>
    </row>
    <row r="16">
      <c r="A16" s="8" t="inlineStr">
        <is>
          <t>Snickerdoodle</t>
        </is>
      </c>
      <c r="B16" s="8" t="n">
        <v>24</v>
      </c>
      <c r="C16" s="8" t="n">
        <v>50</v>
      </c>
      <c r="D16" s="8" t="n">
        <v>1200</v>
      </c>
      <c r="E16" s="8" t="inlineStr">
        <is>
          <t>Cream of Tartar</t>
        </is>
      </c>
      <c r="F16" s="8" t="n">
        <v>6</v>
      </c>
      <c r="G16" s="8" t="inlineStr">
        <is>
          <t>g</t>
        </is>
      </c>
      <c r="H16" s="8" t="inlineStr">
        <is>
          <t>Dry</t>
        </is>
      </c>
    </row>
    <row r="17">
      <c r="A17" s="8" t="inlineStr">
        <is>
          <t>Snickerdoodle</t>
        </is>
      </c>
      <c r="B17" s="8" t="n">
        <v>24</v>
      </c>
      <c r="C17" s="8" t="n">
        <v>50</v>
      </c>
      <c r="D17" s="8" t="n">
        <v>1200</v>
      </c>
      <c r="E17" s="8" t="inlineStr">
        <is>
          <t>Baking Soda</t>
        </is>
      </c>
      <c r="F17" s="8" t="n">
        <v>5</v>
      </c>
      <c r="G17" s="8" t="inlineStr">
        <is>
          <t>g</t>
        </is>
      </c>
      <c r="H17" s="8" t="inlineStr">
        <is>
          <t>Dry</t>
        </is>
      </c>
    </row>
    <row r="18">
      <c r="A18" s="8" t="inlineStr">
        <is>
          <t>Snickerdoodle</t>
        </is>
      </c>
      <c r="B18" s="8" t="n">
        <v>24</v>
      </c>
      <c r="C18" s="8" t="n">
        <v>50</v>
      </c>
      <c r="D18" s="8" t="n">
        <v>1200</v>
      </c>
      <c r="E18" s="8" t="inlineStr">
        <is>
          <t>Ground Cinnamon</t>
        </is>
      </c>
      <c r="F18" s="8" t="n">
        <v>4</v>
      </c>
      <c r="G18" s="8" t="inlineStr">
        <is>
          <t>g</t>
        </is>
      </c>
      <c r="H18" s="8" t="inlineStr">
        <is>
          <t>Dry</t>
        </is>
      </c>
    </row>
    <row r="19">
      <c r="A19" s="8" t="inlineStr">
        <is>
          <t>Snickerdoodle</t>
        </is>
      </c>
      <c r="B19" s="8" t="n">
        <v>24</v>
      </c>
      <c r="C19" s="8" t="n">
        <v>50</v>
      </c>
      <c r="D19" s="8" t="n">
        <v>1200</v>
      </c>
      <c r="E19" s="8" t="inlineStr">
        <is>
          <t>Salt (Kosher)</t>
        </is>
      </c>
      <c r="F19" s="8" t="n">
        <v>3</v>
      </c>
      <c r="G19" s="8" t="inlineStr">
        <is>
          <t>g</t>
        </is>
      </c>
      <c r="H19" s="8" t="inlineStr">
        <is>
          <t>Dry</t>
        </is>
      </c>
    </row>
    <row r="20">
      <c r="A20" s="8" t="inlineStr">
        <is>
          <t>Snickerdoodle</t>
        </is>
      </c>
      <c r="B20" s="8" t="n">
        <v>24</v>
      </c>
      <c r="C20" s="8" t="n">
        <v>50</v>
      </c>
      <c r="D20" s="8" t="n">
        <v>1200</v>
      </c>
      <c r="E20" s="8" t="inlineStr">
        <is>
          <t>Unsalted Butter</t>
        </is>
      </c>
      <c r="F20" s="8" t="n">
        <v>226</v>
      </c>
      <c r="G20" s="8" t="inlineStr">
        <is>
          <t>g</t>
        </is>
      </c>
      <c r="H20" s="8" t="inlineStr">
        <is>
          <t>Wet</t>
        </is>
      </c>
    </row>
    <row r="21">
      <c r="A21" s="8" t="inlineStr">
        <is>
          <t>Snickerdoodle</t>
        </is>
      </c>
      <c r="B21" s="8" t="n">
        <v>24</v>
      </c>
      <c r="C21" s="8" t="n">
        <v>50</v>
      </c>
      <c r="D21" s="8" t="n">
        <v>1200</v>
      </c>
      <c r="E21" s="8" t="inlineStr">
        <is>
          <t>Granulated Sugar</t>
        </is>
      </c>
      <c r="F21" s="8" t="n">
        <v>267</v>
      </c>
      <c r="G21" s="8" t="inlineStr">
        <is>
          <t>g</t>
        </is>
      </c>
      <c r="H21" s="8" t="inlineStr">
        <is>
          <t>Wet</t>
        </is>
      </c>
    </row>
    <row r="22">
      <c r="A22" s="8" t="inlineStr">
        <is>
          <t>Snickerdoodle</t>
        </is>
      </c>
      <c r="B22" s="8" t="n">
        <v>24</v>
      </c>
      <c r="C22" s="8" t="n">
        <v>50</v>
      </c>
      <c r="D22" s="8" t="n">
        <v>1200</v>
      </c>
      <c r="E22" s="8" t="inlineStr">
        <is>
          <t>Eggs (large)</t>
        </is>
      </c>
      <c r="F22" s="8" t="n">
        <v>1</v>
      </c>
      <c r="G22" s="8" t="inlineStr">
        <is>
          <t>each</t>
        </is>
      </c>
      <c r="H22" s="8" t="inlineStr">
        <is>
          <t>Wet</t>
        </is>
      </c>
    </row>
    <row r="23">
      <c r="A23" s="8" t="inlineStr">
        <is>
          <t>Snickerdoodle</t>
        </is>
      </c>
      <c r="B23" s="8" t="n">
        <v>24</v>
      </c>
      <c r="C23" s="8" t="n">
        <v>50</v>
      </c>
      <c r="D23" s="8" t="n">
        <v>1200</v>
      </c>
      <c r="E23" s="8" t="inlineStr">
        <is>
          <t>Egg Yolk</t>
        </is>
      </c>
      <c r="F23" s="8" t="n">
        <v>1</v>
      </c>
      <c r="G23" s="8" t="inlineStr">
        <is>
          <t>each</t>
        </is>
      </c>
      <c r="H23" s="8" t="inlineStr">
        <is>
          <t>Wet</t>
        </is>
      </c>
    </row>
    <row r="24">
      <c r="A24" s="8" t="inlineStr">
        <is>
          <t>Snickerdoodle</t>
        </is>
      </c>
      <c r="B24" s="8" t="n">
        <v>24</v>
      </c>
      <c r="C24" s="8" t="n">
        <v>50</v>
      </c>
      <c r="D24" s="8" t="n">
        <v>1200</v>
      </c>
      <c r="E24" s="8" t="inlineStr">
        <is>
          <t>Vanilla Extract</t>
        </is>
      </c>
      <c r="F24" s="8" t="n">
        <v>8</v>
      </c>
      <c r="G24" s="8" t="inlineStr">
        <is>
          <t>g</t>
        </is>
      </c>
      <c r="H24" s="8" t="inlineStr">
        <is>
          <t>Wet</t>
        </is>
      </c>
    </row>
    <row r="25">
      <c r="A25" s="8" t="inlineStr">
        <is>
          <t>Snickerdoodle</t>
        </is>
      </c>
      <c r="B25" s="8" t="n">
        <v>24</v>
      </c>
      <c r="C25" s="8" t="n">
        <v>50</v>
      </c>
      <c r="D25" s="8" t="n">
        <v>1200</v>
      </c>
      <c r="E25" s="8" t="inlineStr">
        <is>
          <t>Granulated Sugar</t>
        </is>
      </c>
      <c r="F25" s="8" t="n">
        <v>70</v>
      </c>
      <c r="G25" s="8" t="inlineStr">
        <is>
          <t>g</t>
        </is>
      </c>
      <c r="H25" s="8" t="inlineStr">
        <is>
          <t>Topping</t>
        </is>
      </c>
    </row>
    <row r="26">
      <c r="A26" s="8" t="inlineStr">
        <is>
          <t>Snickerdoodle</t>
        </is>
      </c>
      <c r="B26" s="8" t="n">
        <v>24</v>
      </c>
      <c r="C26" s="8" t="n">
        <v>50</v>
      </c>
      <c r="D26" s="8" t="n">
        <v>1200</v>
      </c>
      <c r="E26" s="8" t="inlineStr">
        <is>
          <t>Ground Cinnamon</t>
        </is>
      </c>
      <c r="F26" s="8" t="n">
        <v>3</v>
      </c>
      <c r="G26" s="8" t="inlineStr">
        <is>
          <t>g</t>
        </is>
      </c>
      <c r="H26" s="8" t="inlineStr">
        <is>
          <t>Topping</t>
        </is>
      </c>
    </row>
    <row r="27">
      <c r="A27" s="9" t="inlineStr">
        <is>
          <t>Dark Chocolate Chip</t>
        </is>
      </c>
      <c r="B27" s="9" t="n">
        <v>10</v>
      </c>
      <c r="C27" s="9" t="n">
        <v>115</v>
      </c>
      <c r="D27" s="9" t="n">
        <v>1150</v>
      </c>
      <c r="E27" s="9" t="inlineStr">
        <is>
          <t>Unsalted Butter</t>
        </is>
      </c>
      <c r="F27" s="9" t="n">
        <v>226</v>
      </c>
      <c r="G27" s="9" t="inlineStr">
        <is>
          <t>g</t>
        </is>
      </c>
      <c r="H27" s="9" t="inlineStr">
        <is>
          <t>Wet</t>
        </is>
      </c>
    </row>
    <row r="28">
      <c r="A28" s="9" t="inlineStr">
        <is>
          <t>Dark Chocolate Chip</t>
        </is>
      </c>
      <c r="B28" s="9" t="n">
        <v>10</v>
      </c>
      <c r="C28" s="9" t="n">
        <v>115</v>
      </c>
      <c r="D28" s="9" t="n">
        <v>1150</v>
      </c>
      <c r="E28" s="9" t="inlineStr">
        <is>
          <t>Brown Sugar (Dark)</t>
        </is>
      </c>
      <c r="F28" s="9" t="n">
        <v>220</v>
      </c>
      <c r="G28" s="9" t="inlineStr">
        <is>
          <t>g</t>
        </is>
      </c>
      <c r="H28" s="9" t="inlineStr">
        <is>
          <t>Wet</t>
        </is>
      </c>
    </row>
    <row r="29">
      <c r="A29" s="9" t="inlineStr">
        <is>
          <t>Dark Chocolate Chip</t>
        </is>
      </c>
      <c r="B29" s="9" t="n">
        <v>10</v>
      </c>
      <c r="C29" s="9" t="n">
        <v>115</v>
      </c>
      <c r="D29" s="9" t="n">
        <v>1150</v>
      </c>
      <c r="E29" s="9" t="inlineStr">
        <is>
          <t>Granulated Sugar</t>
        </is>
      </c>
      <c r="F29" s="9" t="n">
        <v>100</v>
      </c>
      <c r="G29" s="9" t="inlineStr">
        <is>
          <t>g</t>
        </is>
      </c>
      <c r="H29" s="9" t="inlineStr">
        <is>
          <t>Wet</t>
        </is>
      </c>
    </row>
    <row r="30">
      <c r="A30" s="9" t="inlineStr">
        <is>
          <t>Dark Chocolate Chip</t>
        </is>
      </c>
      <c r="B30" s="9" t="n">
        <v>10</v>
      </c>
      <c r="C30" s="9" t="n">
        <v>115</v>
      </c>
      <c r="D30" s="9" t="n">
        <v>1150</v>
      </c>
      <c r="E30" s="9" t="inlineStr">
        <is>
          <t>Eggs (large)</t>
        </is>
      </c>
      <c r="F30" s="9" t="n">
        <v>2</v>
      </c>
      <c r="G30" s="9" t="inlineStr">
        <is>
          <t>each</t>
        </is>
      </c>
      <c r="H30" s="9" t="inlineStr">
        <is>
          <t>Wet</t>
        </is>
      </c>
    </row>
    <row r="31">
      <c r="A31" s="9" t="inlineStr">
        <is>
          <t>Dark Chocolate Chip</t>
        </is>
      </c>
      <c r="B31" s="9" t="n">
        <v>10</v>
      </c>
      <c r="C31" s="9" t="n">
        <v>115</v>
      </c>
      <c r="D31" s="9" t="n">
        <v>1150</v>
      </c>
      <c r="E31" s="9" t="inlineStr">
        <is>
          <t>Vanilla Extract</t>
        </is>
      </c>
      <c r="F31" s="9" t="n">
        <v>8</v>
      </c>
      <c r="G31" s="9" t="inlineStr">
        <is>
          <t>g</t>
        </is>
      </c>
      <c r="H31" s="9" t="inlineStr">
        <is>
          <t>Wet</t>
        </is>
      </c>
    </row>
    <row r="32">
      <c r="A32" s="9" t="inlineStr">
        <is>
          <t>Dark Chocolate Chip</t>
        </is>
      </c>
      <c r="B32" s="9" t="n">
        <v>10</v>
      </c>
      <c r="C32" s="9" t="n">
        <v>115</v>
      </c>
      <c r="D32" s="9" t="n">
        <v>1150</v>
      </c>
      <c r="E32" s="9" t="inlineStr">
        <is>
          <t>All-Purpose Flour</t>
        </is>
      </c>
      <c r="F32" s="9" t="n">
        <v>280</v>
      </c>
      <c r="G32" s="9" t="inlineStr">
        <is>
          <t>g</t>
        </is>
      </c>
      <c r="H32" s="9" t="inlineStr">
        <is>
          <t>Dry</t>
        </is>
      </c>
    </row>
    <row r="33">
      <c r="A33" s="9" t="inlineStr">
        <is>
          <t>Dark Chocolate Chip</t>
        </is>
      </c>
      <c r="B33" s="9" t="n">
        <v>10</v>
      </c>
      <c r="C33" s="9" t="n">
        <v>115</v>
      </c>
      <c r="D33" s="9" t="n">
        <v>1150</v>
      </c>
      <c r="E33" s="9" t="inlineStr">
        <is>
          <t>Dutch-Process Cocoa</t>
        </is>
      </c>
      <c r="F33" s="9" t="n">
        <v>60</v>
      </c>
      <c r="G33" s="9" t="inlineStr">
        <is>
          <t>g</t>
        </is>
      </c>
      <c r="H33" s="9" t="inlineStr">
        <is>
          <t>Dry</t>
        </is>
      </c>
    </row>
    <row r="34">
      <c r="A34" s="9" t="inlineStr">
        <is>
          <t>Dark Chocolate Chip</t>
        </is>
      </c>
      <c r="B34" s="9" t="n">
        <v>10</v>
      </c>
      <c r="C34" s="9" t="n">
        <v>115</v>
      </c>
      <c r="D34" s="9" t="n">
        <v>1150</v>
      </c>
      <c r="E34" s="9" t="inlineStr">
        <is>
          <t>Baking Soda</t>
        </is>
      </c>
      <c r="F34" s="9" t="n">
        <v>5</v>
      </c>
      <c r="G34" s="9" t="inlineStr">
        <is>
          <t>g</t>
        </is>
      </c>
      <c r="H34" s="9" t="inlineStr">
        <is>
          <t>Dry</t>
        </is>
      </c>
    </row>
    <row r="35">
      <c r="A35" s="9" t="inlineStr">
        <is>
          <t>Dark Chocolate Chip</t>
        </is>
      </c>
      <c r="B35" s="9" t="n">
        <v>10</v>
      </c>
      <c r="C35" s="9" t="n">
        <v>115</v>
      </c>
      <c r="D35" s="9" t="n">
        <v>1150</v>
      </c>
      <c r="E35" s="9" t="inlineStr">
        <is>
          <t>Salt (Kosher)</t>
        </is>
      </c>
      <c r="F35" s="9" t="n">
        <v>4</v>
      </c>
      <c r="G35" s="9" t="inlineStr">
        <is>
          <t>g</t>
        </is>
      </c>
      <c r="H35" s="9" t="inlineStr">
        <is>
          <t>Dry</t>
        </is>
      </c>
    </row>
    <row r="36">
      <c r="A36" s="9" t="inlineStr">
        <is>
          <t>Dark Chocolate Chip</t>
        </is>
      </c>
      <c r="B36" s="9" t="n">
        <v>10</v>
      </c>
      <c r="C36" s="9" t="n">
        <v>115</v>
      </c>
      <c r="D36" s="9" t="n">
        <v>1150</v>
      </c>
      <c r="E36" s="9" t="inlineStr">
        <is>
          <t>Espresso Powder</t>
        </is>
      </c>
      <c r="F36" s="9" t="n">
        <v>2</v>
      </c>
      <c r="G36" s="9" t="inlineStr">
        <is>
          <t>g</t>
        </is>
      </c>
      <c r="H36" s="9" t="inlineStr">
        <is>
          <t>Dry</t>
        </is>
      </c>
    </row>
    <row r="37">
      <c r="A37" s="9" t="inlineStr">
        <is>
          <t>Dark Chocolate Chip</t>
        </is>
      </c>
      <c r="B37" s="9" t="n">
        <v>10</v>
      </c>
      <c r="C37" s="9" t="n">
        <v>115</v>
      </c>
      <c r="D37" s="9" t="n">
        <v>1150</v>
      </c>
      <c r="E37" s="9" t="inlineStr">
        <is>
          <t>Dark Chocolate Chunks</t>
        </is>
      </c>
      <c r="F37" s="9" t="n">
        <v>255</v>
      </c>
      <c r="G37" s="9" t="inlineStr">
        <is>
          <t>g</t>
        </is>
      </c>
      <c r="H37" s="9" t="inlineStr">
        <is>
          <t>Mix-in</t>
        </is>
      </c>
    </row>
    <row r="38">
      <c r="A38" s="9" t="inlineStr">
        <is>
          <t>Dark Chocolate Chip</t>
        </is>
      </c>
      <c r="B38" s="9" t="n">
        <v>10</v>
      </c>
      <c r="C38" s="9" t="n">
        <v>115</v>
      </c>
      <c r="D38" s="9" t="n">
        <v>1150</v>
      </c>
      <c r="E38" s="9" t="inlineStr">
        <is>
          <t>Flaky Sea Salt</t>
        </is>
      </c>
      <c r="F38" s="9" t="n">
        <v>2</v>
      </c>
      <c r="G38" s="9" t="inlineStr">
        <is>
          <t>g</t>
        </is>
      </c>
      <c r="H38" s="9" t="inlineStr">
        <is>
          <t>Topping</t>
        </is>
      </c>
    </row>
    <row r="39">
      <c r="A39" s="10" t="inlineStr">
        <is>
          <t>Chocolate Chip</t>
        </is>
      </c>
      <c r="B39" s="10" t="n">
        <v>48</v>
      </c>
      <c r="C39" s="10" t="n">
        <v>55</v>
      </c>
      <c r="D39" s="10" t="n">
        <v>2640</v>
      </c>
      <c r="E39" s="10" t="inlineStr">
        <is>
          <t>Granulated Sugar</t>
        </is>
      </c>
      <c r="F39" s="10" t="n">
        <v>300</v>
      </c>
      <c r="G39" s="10" t="inlineStr">
        <is>
          <t>g</t>
        </is>
      </c>
      <c r="H39" s="10" t="inlineStr">
        <is>
          <t>Wet</t>
        </is>
      </c>
    </row>
    <row r="40">
      <c r="A40" s="10" t="inlineStr">
        <is>
          <t>Chocolate Chip</t>
        </is>
      </c>
      <c r="B40" s="10" t="n">
        <v>48</v>
      </c>
      <c r="C40" s="10" t="n">
        <v>55</v>
      </c>
      <c r="D40" s="10" t="n">
        <v>2640</v>
      </c>
      <c r="E40" s="10" t="inlineStr">
        <is>
          <t>Brown Sugar (Light)</t>
        </is>
      </c>
      <c r="F40" s="10" t="n">
        <v>400</v>
      </c>
      <c r="G40" s="10" t="inlineStr">
        <is>
          <t>g</t>
        </is>
      </c>
      <c r="H40" s="10" t="inlineStr">
        <is>
          <t>Wet</t>
        </is>
      </c>
    </row>
    <row r="41">
      <c r="A41" s="10" t="inlineStr">
        <is>
          <t>Chocolate Chip</t>
        </is>
      </c>
      <c r="B41" s="10" t="n">
        <v>48</v>
      </c>
      <c r="C41" s="10" t="n">
        <v>55</v>
      </c>
      <c r="D41" s="10" t="n">
        <v>2640</v>
      </c>
      <c r="E41" s="10" t="inlineStr">
        <is>
          <t>Unsalted Butter</t>
        </is>
      </c>
      <c r="F41" s="10" t="n">
        <v>454</v>
      </c>
      <c r="G41" s="10" t="inlineStr">
        <is>
          <t>g</t>
        </is>
      </c>
      <c r="H41" s="10" t="inlineStr">
        <is>
          <t>Wet</t>
        </is>
      </c>
    </row>
    <row r="42">
      <c r="A42" s="10" t="inlineStr">
        <is>
          <t>Chocolate Chip</t>
        </is>
      </c>
      <c r="B42" s="10" t="n">
        <v>48</v>
      </c>
      <c r="C42" s="10" t="n">
        <v>55</v>
      </c>
      <c r="D42" s="10" t="n">
        <v>2640</v>
      </c>
      <c r="E42" s="10" t="inlineStr">
        <is>
          <t>Vanilla Extract</t>
        </is>
      </c>
      <c r="F42" s="10" t="n">
        <v>26</v>
      </c>
      <c r="G42" s="10" t="inlineStr">
        <is>
          <t>g</t>
        </is>
      </c>
      <c r="H42" s="10" t="inlineStr">
        <is>
          <t>Wet</t>
        </is>
      </c>
    </row>
    <row r="43">
      <c r="A43" s="10" t="inlineStr">
        <is>
          <t>Chocolate Chip</t>
        </is>
      </c>
      <c r="B43" s="10" t="n">
        <v>48</v>
      </c>
      <c r="C43" s="10" t="n">
        <v>55</v>
      </c>
      <c r="D43" s="10" t="n">
        <v>2640</v>
      </c>
      <c r="E43" s="10" t="inlineStr">
        <is>
          <t>Eggs (large)</t>
        </is>
      </c>
      <c r="F43" s="10" t="n">
        <v>4</v>
      </c>
      <c r="G43" s="10" t="inlineStr">
        <is>
          <t>each</t>
        </is>
      </c>
      <c r="H43" s="10" t="inlineStr">
        <is>
          <t>Wet</t>
        </is>
      </c>
    </row>
    <row r="44">
      <c r="A44" s="10" t="inlineStr">
        <is>
          <t>Chocolate Chip</t>
        </is>
      </c>
      <c r="B44" s="10" t="n">
        <v>48</v>
      </c>
      <c r="C44" s="10" t="n">
        <v>55</v>
      </c>
      <c r="D44" s="10" t="n">
        <v>2640</v>
      </c>
      <c r="E44" s="10" t="inlineStr">
        <is>
          <t>All-Purpose Flour</t>
        </is>
      </c>
      <c r="F44" s="10" t="n">
        <v>750</v>
      </c>
      <c r="G44" s="10" t="inlineStr">
        <is>
          <t>g</t>
        </is>
      </c>
      <c r="H44" s="10" t="inlineStr">
        <is>
          <t>Dry</t>
        </is>
      </c>
    </row>
    <row r="45">
      <c r="A45" s="10" t="inlineStr">
        <is>
          <t>Chocolate Chip</t>
        </is>
      </c>
      <c r="B45" s="10" t="n">
        <v>48</v>
      </c>
      <c r="C45" s="10" t="n">
        <v>55</v>
      </c>
      <c r="D45" s="10" t="n">
        <v>2640</v>
      </c>
      <c r="E45" s="10" t="inlineStr">
        <is>
          <t>Baking Soda</t>
        </is>
      </c>
      <c r="F45" s="10" t="n">
        <v>9</v>
      </c>
      <c r="G45" s="10" t="inlineStr">
        <is>
          <t>g</t>
        </is>
      </c>
      <c r="H45" s="10" t="inlineStr">
        <is>
          <t>Dry</t>
        </is>
      </c>
    </row>
    <row r="46">
      <c r="A46" s="10" t="inlineStr">
        <is>
          <t>Chocolate Chip</t>
        </is>
      </c>
      <c r="B46" s="10" t="n">
        <v>48</v>
      </c>
      <c r="C46" s="10" t="n">
        <v>55</v>
      </c>
      <c r="D46" s="10" t="n">
        <v>2640</v>
      </c>
      <c r="E46" s="10" t="inlineStr">
        <is>
          <t>Salt (Kosher)</t>
        </is>
      </c>
      <c r="F46" s="10" t="n">
        <v>9</v>
      </c>
      <c r="G46" s="10" t="inlineStr">
        <is>
          <t>g</t>
        </is>
      </c>
      <c r="H46" s="10" t="inlineStr">
        <is>
          <t>Dry</t>
        </is>
      </c>
    </row>
    <row r="47">
      <c r="A47" s="10" t="inlineStr">
        <is>
          <t>Chocolate Chip</t>
        </is>
      </c>
      <c r="B47" s="10" t="n">
        <v>48</v>
      </c>
      <c r="C47" s="10" t="n">
        <v>55</v>
      </c>
      <c r="D47" s="10" t="n">
        <v>2640</v>
      </c>
      <c r="E47" s="10" t="inlineStr">
        <is>
          <t>Chocolate Chips</t>
        </is>
      </c>
      <c r="F47" s="10" t="n">
        <v>1020</v>
      </c>
      <c r="G47" s="10" t="inlineStr">
        <is>
          <t>g</t>
        </is>
      </c>
      <c r="H47" s="10" t="inlineStr">
        <is>
          <t>Mix-in</t>
        </is>
      </c>
    </row>
    <row r="48">
      <c r="A48" s="11" t="inlineStr">
        <is>
          <t>Lemon Sugar</t>
        </is>
      </c>
      <c r="B48" s="11" t="n">
        <v>44</v>
      </c>
      <c r="C48" s="11" t="n">
        <v>30</v>
      </c>
      <c r="D48" s="11" t="n">
        <v>1320</v>
      </c>
      <c r="E48" s="11" t="inlineStr">
        <is>
          <t>All-Purpose Flour</t>
        </is>
      </c>
      <c r="F48" s="11" t="n">
        <v>500</v>
      </c>
      <c r="G48" s="11" t="inlineStr">
        <is>
          <t>g</t>
        </is>
      </c>
      <c r="H48" s="11" t="inlineStr">
        <is>
          <t>Dry</t>
        </is>
      </c>
    </row>
    <row r="49">
      <c r="A49" s="11" t="inlineStr">
        <is>
          <t>Lemon Sugar</t>
        </is>
      </c>
      <c r="B49" s="11" t="n">
        <v>44</v>
      </c>
      <c r="C49" s="11" t="n">
        <v>30</v>
      </c>
      <c r="D49" s="11" t="n">
        <v>1320</v>
      </c>
      <c r="E49" s="11" t="inlineStr">
        <is>
          <t>Baking Soda</t>
        </is>
      </c>
      <c r="F49" s="11" t="n">
        <v>5</v>
      </c>
      <c r="G49" s="11" t="inlineStr">
        <is>
          <t>g</t>
        </is>
      </c>
      <c r="H49" s="11" t="inlineStr">
        <is>
          <t>Dry</t>
        </is>
      </c>
    </row>
    <row r="50">
      <c r="A50" s="11" t="inlineStr">
        <is>
          <t>Lemon Sugar</t>
        </is>
      </c>
      <c r="B50" s="11" t="n">
        <v>44</v>
      </c>
      <c r="C50" s="11" t="n">
        <v>30</v>
      </c>
      <c r="D50" s="11" t="n">
        <v>1320</v>
      </c>
      <c r="E50" s="11" t="inlineStr">
        <is>
          <t>Baking Powder</t>
        </is>
      </c>
      <c r="F50" s="11" t="n">
        <v>5</v>
      </c>
      <c r="G50" s="11" t="inlineStr">
        <is>
          <t>g</t>
        </is>
      </c>
      <c r="H50" s="11" t="inlineStr">
        <is>
          <t>Dry</t>
        </is>
      </c>
    </row>
    <row r="51">
      <c r="A51" s="11" t="inlineStr">
        <is>
          <t>Lemon Sugar</t>
        </is>
      </c>
      <c r="B51" s="11" t="n">
        <v>44</v>
      </c>
      <c r="C51" s="11" t="n">
        <v>30</v>
      </c>
      <c r="D51" s="11" t="n">
        <v>1320</v>
      </c>
      <c r="E51" s="11" t="inlineStr">
        <is>
          <t>Salt (Kosher)</t>
        </is>
      </c>
      <c r="F51" s="11" t="n">
        <v>6</v>
      </c>
      <c r="G51" s="11" t="inlineStr">
        <is>
          <t>g</t>
        </is>
      </c>
      <c r="H51" s="11" t="inlineStr">
        <is>
          <t>Dry</t>
        </is>
      </c>
    </row>
    <row r="52">
      <c r="A52" s="11" t="inlineStr">
        <is>
          <t>Lemon Sugar</t>
        </is>
      </c>
      <c r="B52" s="11" t="n">
        <v>44</v>
      </c>
      <c r="C52" s="11" t="n">
        <v>30</v>
      </c>
      <c r="D52" s="11" t="n">
        <v>1320</v>
      </c>
      <c r="E52" s="11" t="inlineStr">
        <is>
          <t>Unsalted Butter</t>
        </is>
      </c>
      <c r="F52" s="11" t="n">
        <v>454</v>
      </c>
      <c r="G52" s="11" t="inlineStr">
        <is>
          <t>g</t>
        </is>
      </c>
      <c r="H52" s="11" t="inlineStr">
        <is>
          <t>Wet</t>
        </is>
      </c>
    </row>
    <row r="53">
      <c r="A53" s="11" t="inlineStr">
        <is>
          <t>Lemon Sugar</t>
        </is>
      </c>
      <c r="B53" s="11" t="n">
        <v>44</v>
      </c>
      <c r="C53" s="11" t="n">
        <v>30</v>
      </c>
      <c r="D53" s="11" t="n">
        <v>1320</v>
      </c>
      <c r="E53" s="11" t="inlineStr">
        <is>
          <t>Granulated Sugar</t>
        </is>
      </c>
      <c r="F53" s="11" t="n">
        <v>400</v>
      </c>
      <c r="G53" s="11" t="inlineStr">
        <is>
          <t>g</t>
        </is>
      </c>
      <c r="H53" s="11" t="inlineStr">
        <is>
          <t>Wet</t>
        </is>
      </c>
    </row>
    <row r="54">
      <c r="A54" s="11" t="inlineStr">
        <is>
          <t>Lemon Sugar</t>
        </is>
      </c>
      <c r="B54" s="11" t="n">
        <v>44</v>
      </c>
      <c r="C54" s="11" t="n">
        <v>30</v>
      </c>
      <c r="D54" s="11" t="n">
        <v>1320</v>
      </c>
      <c r="E54" s="11" t="inlineStr">
        <is>
          <t>Eggs (large)</t>
        </is>
      </c>
      <c r="F54" s="11" t="n">
        <v>2</v>
      </c>
      <c r="G54" s="11" t="inlineStr">
        <is>
          <t>each</t>
        </is>
      </c>
      <c r="H54" s="11" t="inlineStr">
        <is>
          <t>Wet</t>
        </is>
      </c>
    </row>
    <row r="55">
      <c r="A55" s="11" t="inlineStr">
        <is>
          <t>Lemon Sugar</t>
        </is>
      </c>
      <c r="B55" s="11" t="n">
        <v>44</v>
      </c>
      <c r="C55" s="11" t="n">
        <v>30</v>
      </c>
      <c r="D55" s="11" t="n">
        <v>1320</v>
      </c>
      <c r="E55" s="11" t="inlineStr">
        <is>
          <t>Lemon Juice (fresh)</t>
        </is>
      </c>
      <c r="F55" s="11" t="n">
        <v>4</v>
      </c>
      <c r="G55" s="11" t="inlineStr">
        <is>
          <t>tbsp</t>
        </is>
      </c>
      <c r="H55" s="11" t="inlineStr">
        <is>
          <t>Wet</t>
        </is>
      </c>
    </row>
    <row r="56">
      <c r="A56" s="11" t="inlineStr">
        <is>
          <t>Lemon Sugar</t>
        </is>
      </c>
      <c r="B56" s="11" t="n">
        <v>44</v>
      </c>
      <c r="C56" s="11" t="n">
        <v>30</v>
      </c>
      <c r="D56" s="11" t="n">
        <v>1320</v>
      </c>
      <c r="E56" s="11" t="inlineStr">
        <is>
          <t>Lemon Zest</t>
        </is>
      </c>
      <c r="F56" s="11" t="n">
        <v>2</v>
      </c>
      <c r="G56" s="11" t="inlineStr">
        <is>
          <t>tbsp</t>
        </is>
      </c>
      <c r="H56" s="11" t="inlineStr">
        <is>
          <t>Wet</t>
        </is>
      </c>
    </row>
    <row r="57">
      <c r="A57" s="11" t="inlineStr">
        <is>
          <t>Lemon Sugar</t>
        </is>
      </c>
      <c r="B57" s="11" t="n">
        <v>44</v>
      </c>
      <c r="C57" s="11" t="n">
        <v>30</v>
      </c>
      <c r="D57" s="11" t="n">
        <v>1320</v>
      </c>
      <c r="E57" s="11" t="inlineStr">
        <is>
          <t>Vanilla Extract</t>
        </is>
      </c>
      <c r="F57" s="11" t="n">
        <v>8</v>
      </c>
      <c r="G57" s="11" t="inlineStr">
        <is>
          <t>g</t>
        </is>
      </c>
      <c r="H57" s="11" t="inlineStr">
        <is>
          <t>Wet</t>
        </is>
      </c>
    </row>
    <row r="58">
      <c r="A58" s="11" t="inlineStr">
        <is>
          <t>Lemon Sugar</t>
        </is>
      </c>
      <c r="B58" s="11" t="n">
        <v>44</v>
      </c>
      <c r="C58" s="11" t="n">
        <v>30</v>
      </c>
      <c r="D58" s="11" t="n">
        <v>1320</v>
      </c>
      <c r="E58" s="11" t="inlineStr">
        <is>
          <t>Granulated Sugar</t>
        </is>
      </c>
      <c r="F58" s="11" t="n">
        <v>100</v>
      </c>
      <c r="G58" s="11" t="inlineStr">
        <is>
          <t>g</t>
        </is>
      </c>
      <c r="H58" s="11" t="inlineStr">
        <is>
          <t>Rolling</t>
        </is>
      </c>
    </row>
    <row r="59">
      <c r="A59" s="12" t="inlineStr">
        <is>
          <t>Oatmeal Raisin</t>
        </is>
      </c>
      <c r="B59" s="12" t="n">
        <v>24</v>
      </c>
      <c r="C59" s="12" t="n">
        <v>50</v>
      </c>
      <c r="D59" s="12" t="n">
        <v>1200</v>
      </c>
      <c r="E59" s="12" t="inlineStr">
        <is>
          <t>Unsalted Butter</t>
        </is>
      </c>
      <c r="F59" s="12" t="n">
        <v>226</v>
      </c>
      <c r="G59" s="12" t="inlineStr">
        <is>
          <t>g</t>
        </is>
      </c>
      <c r="H59" s="12" t="inlineStr">
        <is>
          <t>Wet</t>
        </is>
      </c>
    </row>
    <row r="60">
      <c r="A60" s="12" t="inlineStr">
        <is>
          <t>Oatmeal Raisin</t>
        </is>
      </c>
      <c r="B60" s="12" t="n">
        <v>24</v>
      </c>
      <c r="C60" s="12" t="n">
        <v>50</v>
      </c>
      <c r="D60" s="12" t="n">
        <v>1200</v>
      </c>
      <c r="E60" s="12" t="inlineStr">
        <is>
          <t>Brown Sugar (Light)</t>
        </is>
      </c>
      <c r="F60" s="12" t="n">
        <v>200</v>
      </c>
      <c r="G60" s="12" t="inlineStr">
        <is>
          <t>g</t>
        </is>
      </c>
      <c r="H60" s="12" t="inlineStr">
        <is>
          <t>Wet</t>
        </is>
      </c>
    </row>
    <row r="61">
      <c r="A61" s="12" t="inlineStr">
        <is>
          <t>Oatmeal Raisin</t>
        </is>
      </c>
      <c r="B61" s="12" t="n">
        <v>24</v>
      </c>
      <c r="C61" s="12" t="n">
        <v>50</v>
      </c>
      <c r="D61" s="12" t="n">
        <v>1200</v>
      </c>
      <c r="E61" s="12" t="inlineStr">
        <is>
          <t>Granulated Sugar</t>
        </is>
      </c>
      <c r="F61" s="12" t="n">
        <v>100</v>
      </c>
      <c r="G61" s="12" t="inlineStr">
        <is>
          <t>g</t>
        </is>
      </c>
      <c r="H61" s="12" t="inlineStr">
        <is>
          <t>Wet</t>
        </is>
      </c>
    </row>
    <row r="62">
      <c r="A62" s="12" t="inlineStr">
        <is>
          <t>Oatmeal Raisin</t>
        </is>
      </c>
      <c r="B62" s="12" t="n">
        <v>24</v>
      </c>
      <c r="C62" s="12" t="n">
        <v>50</v>
      </c>
      <c r="D62" s="12" t="n">
        <v>1200</v>
      </c>
      <c r="E62" s="12" t="inlineStr">
        <is>
          <t>Eggs (large)</t>
        </is>
      </c>
      <c r="F62" s="12" t="n">
        <v>2</v>
      </c>
      <c r="G62" s="12" t="inlineStr">
        <is>
          <t>each</t>
        </is>
      </c>
      <c r="H62" s="12" t="inlineStr">
        <is>
          <t>Wet</t>
        </is>
      </c>
    </row>
    <row r="63">
      <c r="A63" s="12" t="inlineStr">
        <is>
          <t>Oatmeal Raisin</t>
        </is>
      </c>
      <c r="B63" s="12" t="n">
        <v>24</v>
      </c>
      <c r="C63" s="12" t="n">
        <v>50</v>
      </c>
      <c r="D63" s="12" t="n">
        <v>1200</v>
      </c>
      <c r="E63" s="12" t="inlineStr">
        <is>
          <t>Vanilla Extract</t>
        </is>
      </c>
      <c r="F63" s="12" t="n">
        <v>13</v>
      </c>
      <c r="G63" s="12" t="inlineStr">
        <is>
          <t>g</t>
        </is>
      </c>
      <c r="H63" s="12" t="inlineStr">
        <is>
          <t>Wet</t>
        </is>
      </c>
    </row>
    <row r="64">
      <c r="A64" s="12" t="inlineStr">
        <is>
          <t>Oatmeal Raisin</t>
        </is>
      </c>
      <c r="B64" s="12" t="n">
        <v>24</v>
      </c>
      <c r="C64" s="12" t="n">
        <v>50</v>
      </c>
      <c r="D64" s="12" t="n">
        <v>1200</v>
      </c>
      <c r="E64" s="12" t="inlineStr">
        <is>
          <t>All-Purpose Flour</t>
        </is>
      </c>
      <c r="F64" s="12" t="n">
        <v>190</v>
      </c>
      <c r="G64" s="12" t="inlineStr">
        <is>
          <t>g</t>
        </is>
      </c>
      <c r="H64" s="12" t="inlineStr">
        <is>
          <t>Dry</t>
        </is>
      </c>
    </row>
    <row r="65">
      <c r="A65" s="12" t="inlineStr">
        <is>
          <t>Oatmeal Raisin</t>
        </is>
      </c>
      <c r="B65" s="12" t="n">
        <v>24</v>
      </c>
      <c r="C65" s="12" t="n">
        <v>50</v>
      </c>
      <c r="D65" s="12" t="n">
        <v>1200</v>
      </c>
      <c r="E65" s="12" t="inlineStr">
        <is>
          <t>Baking Soda</t>
        </is>
      </c>
      <c r="F65" s="12" t="n">
        <v>5</v>
      </c>
      <c r="G65" s="12" t="inlineStr">
        <is>
          <t>g</t>
        </is>
      </c>
      <c r="H65" s="12" t="inlineStr">
        <is>
          <t>Dry</t>
        </is>
      </c>
    </row>
    <row r="66">
      <c r="A66" s="12" t="inlineStr">
        <is>
          <t>Oatmeal Raisin</t>
        </is>
      </c>
      <c r="B66" s="12" t="n">
        <v>24</v>
      </c>
      <c r="C66" s="12" t="n">
        <v>50</v>
      </c>
      <c r="D66" s="12" t="n">
        <v>1200</v>
      </c>
      <c r="E66" s="12" t="inlineStr">
        <is>
          <t>Ground Cinnamon</t>
        </is>
      </c>
      <c r="F66" s="12" t="n">
        <v>4</v>
      </c>
      <c r="G66" s="12" t="inlineStr">
        <is>
          <t>g</t>
        </is>
      </c>
      <c r="H66" s="12" t="inlineStr">
        <is>
          <t>Dry</t>
        </is>
      </c>
    </row>
    <row r="67">
      <c r="A67" s="12" t="inlineStr">
        <is>
          <t>Oatmeal Raisin</t>
        </is>
      </c>
      <c r="B67" s="12" t="n">
        <v>24</v>
      </c>
      <c r="C67" s="12" t="n">
        <v>50</v>
      </c>
      <c r="D67" s="12" t="n">
        <v>1200</v>
      </c>
      <c r="E67" s="12" t="inlineStr">
        <is>
          <t>Salt (Kosher)</t>
        </is>
      </c>
      <c r="F67" s="12" t="n">
        <v>3</v>
      </c>
      <c r="G67" s="12" t="inlineStr">
        <is>
          <t>g</t>
        </is>
      </c>
      <c r="H67" s="12" t="inlineStr">
        <is>
          <t>Dry</t>
        </is>
      </c>
    </row>
    <row r="68">
      <c r="A68" s="12" t="inlineStr">
        <is>
          <t>Oatmeal Raisin</t>
        </is>
      </c>
      <c r="B68" s="12" t="n">
        <v>24</v>
      </c>
      <c r="C68" s="12" t="n">
        <v>50</v>
      </c>
      <c r="D68" s="12" t="n">
        <v>1200</v>
      </c>
      <c r="E68" s="12" t="inlineStr">
        <is>
          <t>Old-Fashioned Oats</t>
        </is>
      </c>
      <c r="F68" s="12" t="n">
        <v>240</v>
      </c>
      <c r="G68" s="12" t="inlineStr">
        <is>
          <t>g</t>
        </is>
      </c>
      <c r="H68" s="12" t="inlineStr">
        <is>
          <t>Mix-in</t>
        </is>
      </c>
    </row>
    <row r="69">
      <c r="A69" s="12" t="inlineStr">
        <is>
          <t>Oatmeal Raisin</t>
        </is>
      </c>
      <c r="B69" s="12" t="n">
        <v>24</v>
      </c>
      <c r="C69" s="12" t="n">
        <v>50</v>
      </c>
      <c r="D69" s="12" t="n">
        <v>1200</v>
      </c>
      <c r="E69" s="12" t="inlineStr">
        <is>
          <t>Raisins</t>
        </is>
      </c>
      <c r="F69" s="12" t="n">
        <v>190</v>
      </c>
      <c r="G69" s="12" t="inlineStr">
        <is>
          <t>g</t>
        </is>
      </c>
      <c r="H69" s="12" t="inlineStr">
        <is>
          <t>Mix-in</t>
        </is>
      </c>
    </row>
    <row r="70">
      <c r="A70" s="12" t="inlineStr">
        <is>
          <t>Oatmeal Raisin</t>
        </is>
      </c>
      <c r="B70" s="12" t="n">
        <v>24</v>
      </c>
      <c r="C70" s="12" t="n">
        <v>50</v>
      </c>
      <c r="D70" s="12" t="n">
        <v>1200</v>
      </c>
      <c r="E70" s="12" t="inlineStr">
        <is>
          <t>Walnuts (chopped)</t>
        </is>
      </c>
      <c r="F70" s="12" t="n">
        <v>60</v>
      </c>
      <c r="G70" s="12" t="inlineStr">
        <is>
          <t>g</t>
        </is>
      </c>
      <c r="H70" s="12" t="inlineStr">
        <is>
          <t>Mix-in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8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📊 BATCH CALCULATOR - Scale Any Recipe</t>
        </is>
      </c>
    </row>
    <row r="2">
      <c r="A2" s="2" t="inlineStr">
        <is>
          <t>Select cookie type, enter quantity &amp; size. Ingredients scale automatically with costs!</t>
        </is>
      </c>
    </row>
    <row r="4">
      <c r="A4" s="13" t="inlineStr">
        <is>
          <t>Cookie Type:</t>
        </is>
      </c>
      <c r="B4" s="14" t="n"/>
      <c r="D4" s="13" t="inlineStr">
        <is>
          <t>Base Yield:</t>
        </is>
      </c>
      <c r="E4" s="4">
        <f>IFERROR(VLOOKUP(B4,'Recipe Database'!A:B,2,FALSE),"")</f>
        <v/>
      </c>
      <c r="G4" s="13" t="inlineStr">
        <is>
          <t>Total Dough:</t>
        </is>
      </c>
      <c r="H4" s="15">
        <f>IF(OR(B5="",B6=""),"",B5*B6)</f>
        <v/>
      </c>
    </row>
    <row r="5">
      <c r="A5" s="13" t="inlineStr">
        <is>
          <t>Quantity Needed:</t>
        </is>
      </c>
      <c r="B5" s="14" t="n"/>
      <c r="D5" s="13" t="inlineStr">
        <is>
          <t>Base Size (g):</t>
        </is>
      </c>
      <c r="E5" s="4">
        <f>IFERROR(VLOOKUP(B4,'Recipe Database'!A:C,3,FALSE),"")</f>
        <v/>
      </c>
      <c r="G5" s="13" t="inlineStr">
        <is>
          <t>Total Cost:</t>
        </is>
      </c>
      <c r="H5" s="16">
        <f>IF(F36="","",F36)</f>
        <v/>
      </c>
    </row>
    <row r="6">
      <c r="A6" s="13" t="inlineStr">
        <is>
          <t>Cookie Size (g):</t>
        </is>
      </c>
      <c r="B6" s="14" t="n"/>
      <c r="D6" s="13" t="inlineStr">
        <is>
          <t>Scale Factor:</t>
        </is>
      </c>
      <c r="E6" s="17">
        <f>IF(OR(B5="",B6="",E4="",E5=""),"",(B5*B6)/(E4*E5))</f>
        <v/>
      </c>
      <c r="F6" s="18" t="inlineStr">
        <is>
          <t>x base recipe</t>
        </is>
      </c>
      <c r="G6" s="13" t="inlineStr">
        <is>
          <t>Cost/Cookie:</t>
        </is>
      </c>
      <c r="H6" s="16">
        <f>IF(OR(H5="",B5=""),"",H5/B5)</f>
        <v/>
      </c>
    </row>
    <row r="8">
      <c r="A8" s="3" t="inlineStr">
        <is>
          <t>Ingredient</t>
        </is>
      </c>
      <c r="B8" s="3" t="inlineStr">
        <is>
          <t>Base Amount</t>
        </is>
      </c>
      <c r="C8" s="3" t="inlineStr">
        <is>
          <t>Unit</t>
        </is>
      </c>
      <c r="D8" s="3" t="inlineStr">
        <is>
          <t>Scaled Amount</t>
        </is>
      </c>
      <c r="E8" s="3" t="inlineStr">
        <is>
          <t>Unit Price</t>
        </is>
      </c>
      <c r="F8" s="3" t="inlineStr">
        <is>
          <t>Ingredient Cost</t>
        </is>
      </c>
      <c r="G8" s="3" t="inlineStr">
        <is>
          <t>Category</t>
        </is>
      </c>
    </row>
    <row r="9">
      <c r="A9" s="4" t="inlineStr">
        <is>
          <t>Unsalted Butter</t>
        </is>
      </c>
      <c r="B9" s="19">
        <f>IFERROR(SUMIFS('Recipe Database'!F:F,'Recipe Database'!A:A,$B$4,'Recipe Database'!E:E,A9),0)</f>
        <v/>
      </c>
      <c r="C9" s="4">
        <f>IFERROR(VLOOKUP(A9,'Ingredient Prices'!A:B,2,FALSE),"")</f>
        <v/>
      </c>
      <c r="D9" s="20">
        <f>IF(OR($E$6="",B9=0),"",ROUND(B9*$E$6,1))</f>
        <v/>
      </c>
      <c r="E9" s="21">
        <f>IFERROR(VLOOKUP(A9,'Ingredient Prices'!A:E,5,FALSE),0)</f>
        <v/>
      </c>
      <c r="F9" s="16">
        <f>IF(D9="",0,D9*E9)</f>
        <v/>
      </c>
      <c r="G9" s="4">
        <f>IFERROR(INDEX('Recipe Database'!H:H,MATCH(1,('Recipe Database'!A:A=$B$4)*('Recipe Database'!E:E=A9),0)),"")</f>
        <v/>
      </c>
    </row>
    <row r="10">
      <c r="A10" s="4" t="inlineStr">
        <is>
          <t>Granulated Sugar</t>
        </is>
      </c>
      <c r="B10" s="19">
        <f>IFERROR(SUMIFS('Recipe Database'!F:F,'Recipe Database'!A:A,$B$4,'Recipe Database'!E:E,A10),0)</f>
        <v/>
      </c>
      <c r="C10" s="4">
        <f>IFERROR(VLOOKUP(A10,'Ingredient Prices'!A:B,2,FALSE),"")</f>
        <v/>
      </c>
      <c r="D10" s="20">
        <f>IF(OR($E$6="",B10=0),"",ROUND(B10*$E$6,1))</f>
        <v/>
      </c>
      <c r="E10" s="21">
        <f>IFERROR(VLOOKUP(A10,'Ingredient Prices'!A:E,5,FALSE),0)</f>
        <v/>
      </c>
      <c r="F10" s="16">
        <f>IF(D10="",0,D10*E10)</f>
        <v/>
      </c>
      <c r="G10" s="4">
        <f>IFERROR(INDEX('Recipe Database'!H:H,MATCH(1,('Recipe Database'!A:A=$B$4)*('Recipe Database'!E:E=A10),0)),"")</f>
        <v/>
      </c>
    </row>
    <row r="11">
      <c r="A11" s="4" t="inlineStr">
        <is>
          <t>Brown Sugar (Light)</t>
        </is>
      </c>
      <c r="B11" s="19">
        <f>IFERROR(SUMIFS('Recipe Database'!F:F,'Recipe Database'!A:A,$B$4,'Recipe Database'!E:E,A11),0)</f>
        <v/>
      </c>
      <c r="C11" s="4">
        <f>IFERROR(VLOOKUP(A11,'Ingredient Prices'!A:B,2,FALSE),"")</f>
        <v/>
      </c>
      <c r="D11" s="20">
        <f>IF(OR($E$6="",B11=0),"",ROUND(B11*$E$6,1))</f>
        <v/>
      </c>
      <c r="E11" s="21">
        <f>IFERROR(VLOOKUP(A11,'Ingredient Prices'!A:E,5,FALSE),0)</f>
        <v/>
      </c>
      <c r="F11" s="16">
        <f>IF(D11="",0,D11*E11)</f>
        <v/>
      </c>
      <c r="G11" s="4">
        <f>IFERROR(INDEX('Recipe Database'!H:H,MATCH(1,('Recipe Database'!A:A=$B$4)*('Recipe Database'!E:E=A11),0)),"")</f>
        <v/>
      </c>
    </row>
    <row r="12">
      <c r="A12" s="4" t="inlineStr">
        <is>
          <t>Brown Sugar (Dark)</t>
        </is>
      </c>
      <c r="B12" s="19">
        <f>IFERROR(SUMIFS('Recipe Database'!F:F,'Recipe Database'!A:A,$B$4,'Recipe Database'!E:E,A12),0)</f>
        <v/>
      </c>
      <c r="C12" s="4">
        <f>IFERROR(VLOOKUP(A12,'Ingredient Prices'!A:B,2,FALSE),"")</f>
        <v/>
      </c>
      <c r="D12" s="20">
        <f>IF(OR($E$6="",B12=0),"",ROUND(B12*$E$6,1))</f>
        <v/>
      </c>
      <c r="E12" s="21">
        <f>IFERROR(VLOOKUP(A12,'Ingredient Prices'!A:E,5,FALSE),0)</f>
        <v/>
      </c>
      <c r="F12" s="16">
        <f>IF(D12="",0,D12*E12)</f>
        <v/>
      </c>
      <c r="G12" s="4">
        <f>IFERROR(INDEX('Recipe Database'!H:H,MATCH(1,('Recipe Database'!A:A=$B$4)*('Recipe Database'!E:E=A12),0)),"")</f>
        <v/>
      </c>
    </row>
    <row r="13">
      <c r="A13" s="4" t="inlineStr">
        <is>
          <t>Eggs (large)</t>
        </is>
      </c>
      <c r="B13" s="19">
        <f>IFERROR(SUMIFS('Recipe Database'!F:F,'Recipe Database'!A:A,$B$4,'Recipe Database'!E:E,A13),0)</f>
        <v/>
      </c>
      <c r="C13" s="4">
        <f>IFERROR(VLOOKUP(A13,'Ingredient Prices'!A:B,2,FALSE),"")</f>
        <v/>
      </c>
      <c r="D13" s="20">
        <f>IF(OR($E$6="",B13=0),"",ROUND(B13*$E$6,1))</f>
        <v/>
      </c>
      <c r="E13" s="21">
        <f>IFERROR(VLOOKUP(A13,'Ingredient Prices'!A:E,5,FALSE),0)</f>
        <v/>
      </c>
      <c r="F13" s="16">
        <f>IF(D13="",0,D13*E13)</f>
        <v/>
      </c>
      <c r="G13" s="4">
        <f>IFERROR(INDEX('Recipe Database'!H:H,MATCH(1,('Recipe Database'!A:A=$B$4)*('Recipe Database'!E:E=A13),0)),"")</f>
        <v/>
      </c>
    </row>
    <row r="14">
      <c r="A14" s="4" t="inlineStr">
        <is>
          <t>Egg Yolk</t>
        </is>
      </c>
      <c r="B14" s="19">
        <f>IFERROR(SUMIFS('Recipe Database'!F:F,'Recipe Database'!A:A,$B$4,'Recipe Database'!E:E,A14),0)</f>
        <v/>
      </c>
      <c r="C14" s="4">
        <f>IFERROR(VLOOKUP(A14,'Ingredient Prices'!A:B,2,FALSE),"")</f>
        <v/>
      </c>
      <c r="D14" s="20">
        <f>IF(OR($E$6="",B14=0),"",ROUND(B14*$E$6,1))</f>
        <v/>
      </c>
      <c r="E14" s="21">
        <f>IFERROR(VLOOKUP(A14,'Ingredient Prices'!A:E,5,FALSE),0)</f>
        <v/>
      </c>
      <c r="F14" s="16">
        <f>IF(D14="",0,D14*E14)</f>
        <v/>
      </c>
      <c r="G14" s="4">
        <f>IFERROR(INDEX('Recipe Database'!H:H,MATCH(1,('Recipe Database'!A:A=$B$4)*('Recipe Database'!E:E=A14),0)),"")</f>
        <v/>
      </c>
    </row>
    <row r="15">
      <c r="A15" s="4" t="inlineStr">
        <is>
          <t>Vanilla Extract</t>
        </is>
      </c>
      <c r="B15" s="19">
        <f>IFERROR(SUMIFS('Recipe Database'!F:F,'Recipe Database'!A:A,$B$4,'Recipe Database'!E:E,A15),0)</f>
        <v/>
      </c>
      <c r="C15" s="4">
        <f>IFERROR(VLOOKUP(A15,'Ingredient Prices'!A:B,2,FALSE),"")</f>
        <v/>
      </c>
      <c r="D15" s="20">
        <f>IF(OR($E$6="",B15=0),"",ROUND(B15*$E$6,1))</f>
        <v/>
      </c>
      <c r="E15" s="21">
        <f>IFERROR(VLOOKUP(A15,'Ingredient Prices'!A:E,5,FALSE),0)</f>
        <v/>
      </c>
      <c r="F15" s="16">
        <f>IF(D15="",0,D15*E15)</f>
        <v/>
      </c>
      <c r="G15" s="4">
        <f>IFERROR(INDEX('Recipe Database'!H:H,MATCH(1,('Recipe Database'!A:A=$B$4)*('Recipe Database'!E:E=A15),0)),"")</f>
        <v/>
      </c>
    </row>
    <row r="16">
      <c r="A16" s="4" t="inlineStr">
        <is>
          <t>Sour Cream</t>
        </is>
      </c>
      <c r="B16" s="19">
        <f>IFERROR(SUMIFS('Recipe Database'!F:F,'Recipe Database'!A:A,$B$4,'Recipe Database'!E:E,A16),0)</f>
        <v/>
      </c>
      <c r="C16" s="4">
        <f>IFERROR(VLOOKUP(A16,'Ingredient Prices'!A:B,2,FALSE),"")</f>
        <v/>
      </c>
      <c r="D16" s="20">
        <f>IF(OR($E$6="",B16=0),"",ROUND(B16*$E$6,1))</f>
        <v/>
      </c>
      <c r="E16" s="21">
        <f>IFERROR(VLOOKUP(A16,'Ingredient Prices'!A:E,5,FALSE),0)</f>
        <v/>
      </c>
      <c r="F16" s="16">
        <f>IF(D16="",0,D16*E16)</f>
        <v/>
      </c>
      <c r="G16" s="4">
        <f>IFERROR(INDEX('Recipe Database'!H:H,MATCH(1,('Recipe Database'!A:A=$B$4)*('Recipe Database'!E:E=A16),0)),"")</f>
        <v/>
      </c>
    </row>
    <row r="17">
      <c r="A17" s="4" t="inlineStr">
        <is>
          <t>Cream Cheese</t>
        </is>
      </c>
      <c r="B17" s="19">
        <f>IFERROR(SUMIFS('Recipe Database'!F:F,'Recipe Database'!A:A,$B$4,'Recipe Database'!E:E,A17),0)</f>
        <v/>
      </c>
      <c r="C17" s="4">
        <f>IFERROR(VLOOKUP(A17,'Ingredient Prices'!A:B,2,FALSE),"")</f>
        <v/>
      </c>
      <c r="D17" s="20">
        <f>IF(OR($E$6="",B17=0),"",ROUND(B17*$E$6,1))</f>
        <v/>
      </c>
      <c r="E17" s="21">
        <f>IFERROR(VLOOKUP(A17,'Ingredient Prices'!A:E,5,FALSE),0)</f>
        <v/>
      </c>
      <c r="F17" s="16">
        <f>IF(D17="",0,D17*E17)</f>
        <v/>
      </c>
      <c r="G17" s="4">
        <f>IFERROR(INDEX('Recipe Database'!H:H,MATCH(1,('Recipe Database'!A:A=$B$4)*('Recipe Database'!E:E=A17),0)),"")</f>
        <v/>
      </c>
    </row>
    <row r="18">
      <c r="A18" s="4" t="inlineStr">
        <is>
          <t>All-Purpose Flour</t>
        </is>
      </c>
      <c r="B18" s="19">
        <f>IFERROR(SUMIFS('Recipe Database'!F:F,'Recipe Database'!A:A,$B$4,'Recipe Database'!E:E,A18),0)</f>
        <v/>
      </c>
      <c r="C18" s="4">
        <f>IFERROR(VLOOKUP(A18,'Ingredient Prices'!A:B,2,FALSE),"")</f>
        <v/>
      </c>
      <c r="D18" s="20">
        <f>IF(OR($E$6="",B18=0),"",ROUND(B18*$E$6,1))</f>
        <v/>
      </c>
      <c r="E18" s="21">
        <f>IFERROR(VLOOKUP(A18,'Ingredient Prices'!A:E,5,FALSE),0)</f>
        <v/>
      </c>
      <c r="F18" s="16">
        <f>IF(D18="",0,D18*E18)</f>
        <v/>
      </c>
      <c r="G18" s="4">
        <f>IFERROR(INDEX('Recipe Database'!H:H,MATCH(1,('Recipe Database'!A:A=$B$4)*('Recipe Database'!E:E=A18),0)),"")</f>
        <v/>
      </c>
    </row>
    <row r="19">
      <c r="A19" s="4" t="inlineStr">
        <is>
          <t>Cornstarch</t>
        </is>
      </c>
      <c r="B19" s="19">
        <f>IFERROR(SUMIFS('Recipe Database'!F:F,'Recipe Database'!A:A,$B$4,'Recipe Database'!E:E,A19),0)</f>
        <v/>
      </c>
      <c r="C19" s="4">
        <f>IFERROR(VLOOKUP(A19,'Ingredient Prices'!A:B,2,FALSE),"")</f>
        <v/>
      </c>
      <c r="D19" s="20">
        <f>IF(OR($E$6="",B19=0),"",ROUND(B19*$E$6,1))</f>
        <v/>
      </c>
      <c r="E19" s="21">
        <f>IFERROR(VLOOKUP(A19,'Ingredient Prices'!A:E,5,FALSE),0)</f>
        <v/>
      </c>
      <c r="F19" s="16">
        <f>IF(D19="",0,D19*E19)</f>
        <v/>
      </c>
      <c r="G19" s="4">
        <f>IFERROR(INDEX('Recipe Database'!H:H,MATCH(1,('Recipe Database'!A:A=$B$4)*('Recipe Database'!E:E=A19),0)),"")</f>
        <v/>
      </c>
    </row>
    <row r="20">
      <c r="A20" s="4" t="inlineStr">
        <is>
          <t>Dutch-Process Cocoa</t>
        </is>
      </c>
      <c r="B20" s="19">
        <f>IFERROR(SUMIFS('Recipe Database'!F:F,'Recipe Database'!A:A,$B$4,'Recipe Database'!E:E,A20),0)</f>
        <v/>
      </c>
      <c r="C20" s="4">
        <f>IFERROR(VLOOKUP(A20,'Ingredient Prices'!A:B,2,FALSE),"")</f>
        <v/>
      </c>
      <c r="D20" s="20">
        <f>IF(OR($E$6="",B20=0),"",ROUND(B20*$E$6,1))</f>
        <v/>
      </c>
      <c r="E20" s="21">
        <f>IFERROR(VLOOKUP(A20,'Ingredient Prices'!A:E,5,FALSE),0)</f>
        <v/>
      </c>
      <c r="F20" s="16">
        <f>IF(D20="",0,D20*E20)</f>
        <v/>
      </c>
      <c r="G20" s="4">
        <f>IFERROR(INDEX('Recipe Database'!H:H,MATCH(1,('Recipe Database'!A:A=$B$4)*('Recipe Database'!E:E=A20),0)),"")</f>
        <v/>
      </c>
    </row>
    <row r="21">
      <c r="A21" s="4" t="inlineStr">
        <is>
          <t>Old-Fashioned Oats</t>
        </is>
      </c>
      <c r="B21" s="19">
        <f>IFERROR(SUMIFS('Recipe Database'!F:F,'Recipe Database'!A:A,$B$4,'Recipe Database'!E:E,A21),0)</f>
        <v/>
      </c>
      <c r="C21" s="4">
        <f>IFERROR(VLOOKUP(A21,'Ingredient Prices'!A:B,2,FALSE),"")</f>
        <v/>
      </c>
      <c r="D21" s="20">
        <f>IF(OR($E$6="",B21=0),"",ROUND(B21*$E$6,1))</f>
        <v/>
      </c>
      <c r="E21" s="21">
        <f>IFERROR(VLOOKUP(A21,'Ingredient Prices'!A:E,5,FALSE),0)</f>
        <v/>
      </c>
      <c r="F21" s="16">
        <f>IF(D21="",0,D21*E21)</f>
        <v/>
      </c>
      <c r="G21" s="4">
        <f>IFERROR(INDEX('Recipe Database'!H:H,MATCH(1,('Recipe Database'!A:A=$B$4)*('Recipe Database'!E:E=A21),0)),"")</f>
        <v/>
      </c>
    </row>
    <row r="22">
      <c r="A22" s="4" t="inlineStr">
        <is>
          <t>Baking Powder</t>
        </is>
      </c>
      <c r="B22" s="19">
        <f>IFERROR(SUMIFS('Recipe Database'!F:F,'Recipe Database'!A:A,$B$4,'Recipe Database'!E:E,A22),0)</f>
        <v/>
      </c>
      <c r="C22" s="4">
        <f>IFERROR(VLOOKUP(A22,'Ingredient Prices'!A:B,2,FALSE),"")</f>
        <v/>
      </c>
      <c r="D22" s="20">
        <f>IF(OR($E$6="",B22=0),"",ROUND(B22*$E$6,1))</f>
        <v/>
      </c>
      <c r="E22" s="21">
        <f>IFERROR(VLOOKUP(A22,'Ingredient Prices'!A:E,5,FALSE),0)</f>
        <v/>
      </c>
      <c r="F22" s="16">
        <f>IF(D22="",0,D22*E22)</f>
        <v/>
      </c>
      <c r="G22" s="4">
        <f>IFERROR(INDEX('Recipe Database'!H:H,MATCH(1,('Recipe Database'!A:A=$B$4)*('Recipe Database'!E:E=A22),0)),"")</f>
        <v/>
      </c>
    </row>
    <row r="23">
      <c r="A23" s="4" t="inlineStr">
        <is>
          <t>Baking Soda</t>
        </is>
      </c>
      <c r="B23" s="19">
        <f>IFERROR(SUMIFS('Recipe Database'!F:F,'Recipe Database'!A:A,$B$4,'Recipe Database'!E:E,A23),0)</f>
        <v/>
      </c>
      <c r="C23" s="4">
        <f>IFERROR(VLOOKUP(A23,'Ingredient Prices'!A:B,2,FALSE),"")</f>
        <v/>
      </c>
      <c r="D23" s="20">
        <f>IF(OR($E$6="",B23=0),"",ROUND(B23*$E$6,1))</f>
        <v/>
      </c>
      <c r="E23" s="21">
        <f>IFERROR(VLOOKUP(A23,'Ingredient Prices'!A:E,5,FALSE),0)</f>
        <v/>
      </c>
      <c r="F23" s="16">
        <f>IF(D23="",0,D23*E23)</f>
        <v/>
      </c>
      <c r="G23" s="4">
        <f>IFERROR(INDEX('Recipe Database'!H:H,MATCH(1,('Recipe Database'!A:A=$B$4)*('Recipe Database'!E:E=A23),0)),"")</f>
        <v/>
      </c>
    </row>
    <row r="24">
      <c r="A24" s="4" t="inlineStr">
        <is>
          <t>Cream of Tartar</t>
        </is>
      </c>
      <c r="B24" s="19">
        <f>IFERROR(SUMIFS('Recipe Database'!F:F,'Recipe Database'!A:A,$B$4,'Recipe Database'!E:E,A24),0)</f>
        <v/>
      </c>
      <c r="C24" s="4">
        <f>IFERROR(VLOOKUP(A24,'Ingredient Prices'!A:B,2,FALSE),"")</f>
        <v/>
      </c>
      <c r="D24" s="20">
        <f>IF(OR($E$6="",B24=0),"",ROUND(B24*$E$6,1))</f>
        <v/>
      </c>
      <c r="E24" s="21">
        <f>IFERROR(VLOOKUP(A24,'Ingredient Prices'!A:E,5,FALSE),0)</f>
        <v/>
      </c>
      <c r="F24" s="16">
        <f>IF(D24="",0,D24*E24)</f>
        <v/>
      </c>
      <c r="G24" s="4">
        <f>IFERROR(INDEX('Recipe Database'!H:H,MATCH(1,('Recipe Database'!A:A=$B$4)*('Recipe Database'!E:E=A24),0)),"")</f>
        <v/>
      </c>
    </row>
    <row r="25">
      <c r="A25" s="4" t="inlineStr">
        <is>
          <t>Ground Cinnamon</t>
        </is>
      </c>
      <c r="B25" s="19">
        <f>IFERROR(SUMIFS('Recipe Database'!F:F,'Recipe Database'!A:A,$B$4,'Recipe Database'!E:E,A25),0)</f>
        <v/>
      </c>
      <c r="C25" s="4">
        <f>IFERROR(VLOOKUP(A25,'Ingredient Prices'!A:B,2,FALSE),"")</f>
        <v/>
      </c>
      <c r="D25" s="20">
        <f>IF(OR($E$6="",B25=0),"",ROUND(B25*$E$6,1))</f>
        <v/>
      </c>
      <c r="E25" s="21">
        <f>IFERROR(VLOOKUP(A25,'Ingredient Prices'!A:E,5,FALSE),0)</f>
        <v/>
      </c>
      <c r="F25" s="16">
        <f>IF(D25="",0,D25*E25)</f>
        <v/>
      </c>
      <c r="G25" s="4">
        <f>IFERROR(INDEX('Recipe Database'!H:H,MATCH(1,('Recipe Database'!A:A=$B$4)*('Recipe Database'!E:E=A25),0)),"")</f>
        <v/>
      </c>
    </row>
    <row r="26">
      <c r="A26" s="4" t="inlineStr">
        <is>
          <t>Salt (Kosher)</t>
        </is>
      </c>
      <c r="B26" s="19">
        <f>IFERROR(SUMIFS('Recipe Database'!F:F,'Recipe Database'!A:A,$B$4,'Recipe Database'!E:E,A26),0)</f>
        <v/>
      </c>
      <c r="C26" s="4">
        <f>IFERROR(VLOOKUP(A26,'Ingredient Prices'!A:B,2,FALSE),"")</f>
        <v/>
      </c>
      <c r="D26" s="20">
        <f>IF(OR($E$6="",B26=0),"",ROUND(B26*$E$6,1))</f>
        <v/>
      </c>
      <c r="E26" s="21">
        <f>IFERROR(VLOOKUP(A26,'Ingredient Prices'!A:E,5,FALSE),0)</f>
        <v/>
      </c>
      <c r="F26" s="16">
        <f>IF(D26="",0,D26*E26)</f>
        <v/>
      </c>
      <c r="G26" s="4">
        <f>IFERROR(INDEX('Recipe Database'!H:H,MATCH(1,('Recipe Database'!A:A=$B$4)*('Recipe Database'!E:E=A26),0)),"")</f>
        <v/>
      </c>
    </row>
    <row r="27">
      <c r="A27" s="4" t="inlineStr">
        <is>
          <t>Flaky Sea Salt</t>
        </is>
      </c>
      <c r="B27" s="19">
        <f>IFERROR(SUMIFS('Recipe Database'!F:F,'Recipe Database'!A:A,$B$4,'Recipe Database'!E:E,A27),0)</f>
        <v/>
      </c>
      <c r="C27" s="4">
        <f>IFERROR(VLOOKUP(A27,'Ingredient Prices'!A:B,2,FALSE),"")</f>
        <v/>
      </c>
      <c r="D27" s="20">
        <f>IF(OR($E$6="",B27=0),"",ROUND(B27*$E$6,1))</f>
        <v/>
      </c>
      <c r="E27" s="21">
        <f>IFERROR(VLOOKUP(A27,'Ingredient Prices'!A:E,5,FALSE),0)</f>
        <v/>
      </c>
      <c r="F27" s="16">
        <f>IF(D27="",0,D27*E27)</f>
        <v/>
      </c>
      <c r="G27" s="4">
        <f>IFERROR(INDEX('Recipe Database'!H:H,MATCH(1,('Recipe Database'!A:A=$B$4)*('Recipe Database'!E:E=A27),0)),"")</f>
        <v/>
      </c>
    </row>
    <row r="28">
      <c r="A28" s="4" t="inlineStr">
        <is>
          <t>Espresso Powder</t>
        </is>
      </c>
      <c r="B28" s="19">
        <f>IFERROR(SUMIFS('Recipe Database'!F:F,'Recipe Database'!A:A,$B$4,'Recipe Database'!E:E,A28),0)</f>
        <v/>
      </c>
      <c r="C28" s="4">
        <f>IFERROR(VLOOKUP(A28,'Ingredient Prices'!A:B,2,FALSE),"")</f>
        <v/>
      </c>
      <c r="D28" s="20">
        <f>IF(OR($E$6="",B28=0),"",ROUND(B28*$E$6,1))</f>
        <v/>
      </c>
      <c r="E28" s="21">
        <f>IFERROR(VLOOKUP(A28,'Ingredient Prices'!A:E,5,FALSE),0)</f>
        <v/>
      </c>
      <c r="F28" s="16">
        <f>IF(D28="",0,D28*E28)</f>
        <v/>
      </c>
      <c r="G28" s="4">
        <f>IFERROR(INDEX('Recipe Database'!H:H,MATCH(1,('Recipe Database'!A:A=$B$4)*('Recipe Database'!E:E=A28),0)),"")</f>
        <v/>
      </c>
    </row>
    <row r="29">
      <c r="A29" s="4" t="inlineStr">
        <is>
          <t>Chocolate Chips</t>
        </is>
      </c>
      <c r="B29" s="19">
        <f>IFERROR(SUMIFS('Recipe Database'!F:F,'Recipe Database'!A:A,$B$4,'Recipe Database'!E:E,A29),0)</f>
        <v/>
      </c>
      <c r="C29" s="4">
        <f>IFERROR(VLOOKUP(A29,'Ingredient Prices'!A:B,2,FALSE),"")</f>
        <v/>
      </c>
      <c r="D29" s="20">
        <f>IF(OR($E$6="",B29=0),"",ROUND(B29*$E$6,1))</f>
        <v/>
      </c>
      <c r="E29" s="21">
        <f>IFERROR(VLOOKUP(A29,'Ingredient Prices'!A:E,5,FALSE),0)</f>
        <v/>
      </c>
      <c r="F29" s="16">
        <f>IF(D29="",0,D29*E29)</f>
        <v/>
      </c>
      <c r="G29" s="4">
        <f>IFERROR(INDEX('Recipe Database'!H:H,MATCH(1,('Recipe Database'!A:A=$B$4)*('Recipe Database'!E:E=A29),0)),"")</f>
        <v/>
      </c>
    </row>
    <row r="30">
      <c r="A30" s="4" t="inlineStr">
        <is>
          <t>Dark Chocolate Chunks</t>
        </is>
      </c>
      <c r="B30" s="19">
        <f>IFERROR(SUMIFS('Recipe Database'!F:F,'Recipe Database'!A:A,$B$4,'Recipe Database'!E:E,A30),0)</f>
        <v/>
      </c>
      <c r="C30" s="4">
        <f>IFERROR(VLOOKUP(A30,'Ingredient Prices'!A:B,2,FALSE),"")</f>
        <v/>
      </c>
      <c r="D30" s="20">
        <f>IF(OR($E$6="",B30=0),"",ROUND(B30*$E$6,1))</f>
        <v/>
      </c>
      <c r="E30" s="21">
        <f>IFERROR(VLOOKUP(A30,'Ingredient Prices'!A:E,5,FALSE),0)</f>
        <v/>
      </c>
      <c r="F30" s="16">
        <f>IF(D30="",0,D30*E30)</f>
        <v/>
      </c>
      <c r="G30" s="4">
        <f>IFERROR(INDEX('Recipe Database'!H:H,MATCH(1,('Recipe Database'!A:A=$B$4)*('Recipe Database'!E:E=A30),0)),"")</f>
        <v/>
      </c>
    </row>
    <row r="31">
      <c r="A31" s="4" t="inlineStr">
        <is>
          <t>Raisins</t>
        </is>
      </c>
      <c r="B31" s="19">
        <f>IFERROR(SUMIFS('Recipe Database'!F:F,'Recipe Database'!A:A,$B$4,'Recipe Database'!E:E,A31),0)</f>
        <v/>
      </c>
      <c r="C31" s="4">
        <f>IFERROR(VLOOKUP(A31,'Ingredient Prices'!A:B,2,FALSE),"")</f>
        <v/>
      </c>
      <c r="D31" s="20">
        <f>IF(OR($E$6="",B31=0),"",ROUND(B31*$E$6,1))</f>
        <v/>
      </c>
      <c r="E31" s="21">
        <f>IFERROR(VLOOKUP(A31,'Ingredient Prices'!A:E,5,FALSE),0)</f>
        <v/>
      </c>
      <c r="F31" s="16">
        <f>IF(D31="",0,D31*E31)</f>
        <v/>
      </c>
      <c r="G31" s="4">
        <f>IFERROR(INDEX('Recipe Database'!H:H,MATCH(1,('Recipe Database'!A:A=$B$4)*('Recipe Database'!E:E=A31),0)),"")</f>
        <v/>
      </c>
    </row>
    <row r="32">
      <c r="A32" s="4" t="inlineStr">
        <is>
          <t>Walnuts (chopped)</t>
        </is>
      </c>
      <c r="B32" s="19">
        <f>IFERROR(SUMIFS('Recipe Database'!F:F,'Recipe Database'!A:A,$B$4,'Recipe Database'!E:E,A32),0)</f>
        <v/>
      </c>
      <c r="C32" s="4">
        <f>IFERROR(VLOOKUP(A32,'Ingredient Prices'!A:B,2,FALSE),"")</f>
        <v/>
      </c>
      <c r="D32" s="20">
        <f>IF(OR($E$6="",B32=0),"",ROUND(B32*$E$6,1))</f>
        <v/>
      </c>
      <c r="E32" s="21">
        <f>IFERROR(VLOOKUP(A32,'Ingredient Prices'!A:E,5,FALSE),0)</f>
        <v/>
      </c>
      <c r="F32" s="16">
        <f>IF(D32="",0,D32*E32)</f>
        <v/>
      </c>
      <c r="G32" s="4">
        <f>IFERROR(INDEX('Recipe Database'!H:H,MATCH(1,('Recipe Database'!A:A=$B$4)*('Recipe Database'!E:E=A32),0)),"")</f>
        <v/>
      </c>
    </row>
    <row r="33">
      <c r="A33" s="4" t="inlineStr">
        <is>
          <t>Lemon Juice (fresh)</t>
        </is>
      </c>
      <c r="B33" s="19">
        <f>IFERROR(SUMIFS('Recipe Database'!F:F,'Recipe Database'!A:A,$B$4,'Recipe Database'!E:E,A33),0)</f>
        <v/>
      </c>
      <c r="C33" s="4">
        <f>IFERROR(VLOOKUP(A33,'Ingredient Prices'!A:B,2,FALSE),"")</f>
        <v/>
      </c>
      <c r="D33" s="20">
        <f>IF(OR($E$6="",B33=0),"",ROUND(B33*$E$6,1))</f>
        <v/>
      </c>
      <c r="E33" s="21">
        <f>IFERROR(VLOOKUP(A33,'Ingredient Prices'!A:E,5,FALSE),0)</f>
        <v/>
      </c>
      <c r="F33" s="16">
        <f>IF(D33="",0,D33*E33)</f>
        <v/>
      </c>
      <c r="G33" s="4">
        <f>IFERROR(INDEX('Recipe Database'!H:H,MATCH(1,('Recipe Database'!A:A=$B$4)*('Recipe Database'!E:E=A33),0)),"")</f>
        <v/>
      </c>
    </row>
    <row r="34">
      <c r="A34" s="4" t="inlineStr">
        <is>
          <t>Lemon Zest</t>
        </is>
      </c>
      <c r="B34" s="19">
        <f>IFERROR(SUMIFS('Recipe Database'!F:F,'Recipe Database'!A:A,$B$4,'Recipe Database'!E:E,A34),0)</f>
        <v/>
      </c>
      <c r="C34" s="4">
        <f>IFERROR(VLOOKUP(A34,'Ingredient Prices'!A:B,2,FALSE),"")</f>
        <v/>
      </c>
      <c r="D34" s="20">
        <f>IF(OR($E$6="",B34=0),"",ROUND(B34*$E$6,1))</f>
        <v/>
      </c>
      <c r="E34" s="21">
        <f>IFERROR(VLOOKUP(A34,'Ingredient Prices'!A:E,5,FALSE),0)</f>
        <v/>
      </c>
      <c r="F34" s="16">
        <f>IF(D34="",0,D34*E34)</f>
        <v/>
      </c>
      <c r="G34" s="4">
        <f>IFERROR(INDEX('Recipe Database'!H:H,MATCH(1,('Recipe Database'!A:A=$B$4)*('Recipe Database'!E:E=A34),0)),"")</f>
        <v/>
      </c>
    </row>
    <row r="36">
      <c r="E36" s="22" t="inlineStr">
        <is>
          <t>TOTAL COST:</t>
        </is>
      </c>
      <c r="F36" s="23">
        <f>SUM(F9:F35)</f>
        <v/>
      </c>
    </row>
  </sheetData>
  <mergeCells count="2">
    <mergeCell ref="A2:H2"/>
    <mergeCell ref="A1:H1"/>
  </mergeCells>
  <dataValidations count="1">
    <dataValidation sqref="B4" showDropDown="0" showInputMessage="0" showErrorMessage="0" allowBlank="0" type="list">
      <formula1>"Sugar Cookie,Snickerdoodle,Dark Chocolate Chip,Chocolate Chip,Lemon Sugar,Oatmeal Raisin"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0" customWidth="1" min="4" max="4"/>
    <col width="16" customWidth="1" min="5" max="5"/>
    <col width="12" customWidth="1" min="6" max="6"/>
    <col width="14" customWidth="1" min="7" max="7"/>
    <col width="12" customWidth="1" min="8" max="8"/>
    <col width="20" customWidth="1" min="9" max="9"/>
  </cols>
  <sheetData>
    <row r="1">
      <c r="A1" s="1" t="inlineStr">
        <is>
          <t>🍪 MIDNIGHT DOUGH - ORDER CALCULATOR</t>
        </is>
      </c>
    </row>
    <row r="2">
      <c r="A2" s="2" t="inlineStr">
        <is>
          <t>Add multiple orders. Each row calculates batches needed and estimated ingredient cost.</t>
        </is>
      </c>
    </row>
    <row r="4">
      <c r="A4" s="3" t="inlineStr">
        <is>
          <t>#</t>
        </is>
      </c>
      <c r="B4" s="3" t="inlineStr">
        <is>
          <t>Cookie Type</t>
        </is>
      </c>
      <c r="C4" s="3" t="inlineStr">
        <is>
          <t>Qty</t>
        </is>
      </c>
      <c r="D4" s="3" t="inlineStr">
        <is>
          <t>Size (g)</t>
        </is>
      </c>
      <c r="E4" s="3" t="inlineStr">
        <is>
          <t>Total Dough (g)</t>
        </is>
      </c>
      <c r="F4" s="3" t="inlineStr">
        <is>
          <t>Scale Factor</t>
        </is>
      </c>
      <c r="G4" s="3" t="inlineStr">
        <is>
          <t>Est. Cost ($)</t>
        </is>
      </c>
      <c r="H4" s="3" t="inlineStr">
        <is>
          <t>Cost/Cookie</t>
        </is>
      </c>
      <c r="I4" s="3" t="inlineStr">
        <is>
          <t>Notes</t>
        </is>
      </c>
    </row>
    <row r="5">
      <c r="A5" s="4" t="n">
        <v>1</v>
      </c>
      <c r="B5" s="14" t="n"/>
      <c r="C5" s="14" t="n"/>
      <c r="D5" s="14" t="n"/>
      <c r="E5" s="24">
        <f>IF(C5="","",C5*D5)</f>
        <v/>
      </c>
      <c r="F5" s="25">
        <f>IF(B5="","",E5/VLOOKUP(B5,'Recipe Database'!A:D,4,FALSE))</f>
        <v/>
      </c>
      <c r="G5" s="16">
        <f>IFERROR(IF(F5="","",F5*SUMPRODUCT(('Recipe Database'!A$4:A$100=B5)*('Recipe Database'!F$4:F$100)*VLOOKUP('Recipe Database'!E$4:E$100,'Ingredient Prices'!A:E,5,FALSE))),"")</f>
        <v/>
      </c>
      <c r="H5" s="16">
        <f>IF(OR(G5="",C5=""),"",G5/C5)</f>
        <v/>
      </c>
      <c r="I5" s="4" t="n"/>
    </row>
    <row r="6">
      <c r="A6" s="4" t="n">
        <v>2</v>
      </c>
      <c r="B6" s="14" t="n"/>
      <c r="C6" s="14" t="n"/>
      <c r="D6" s="14" t="n"/>
      <c r="E6" s="24">
        <f>IF(C6="","",C6*D6)</f>
        <v/>
      </c>
      <c r="F6" s="25">
        <f>IF(B6="","",E6/VLOOKUP(B6,'Recipe Database'!A:D,4,FALSE))</f>
        <v/>
      </c>
      <c r="G6" s="16">
        <f>IFERROR(IF(F6="","",F6*SUMPRODUCT(('Recipe Database'!A$4:A$100=B6)*('Recipe Database'!F$4:F$100)*VLOOKUP('Recipe Database'!E$4:E$100,'Ingredient Prices'!A:E,5,FALSE))),"")</f>
        <v/>
      </c>
      <c r="H6" s="16">
        <f>IF(OR(G6="",C6=""),"",G6/C6)</f>
        <v/>
      </c>
      <c r="I6" s="4" t="n"/>
    </row>
    <row r="7">
      <c r="A7" s="4" t="n">
        <v>3</v>
      </c>
      <c r="B7" s="14" t="n"/>
      <c r="C7" s="14" t="n"/>
      <c r="D7" s="14" t="n"/>
      <c r="E7" s="24">
        <f>IF(C7="","",C7*D7)</f>
        <v/>
      </c>
      <c r="F7" s="25">
        <f>IF(B7="","",E7/VLOOKUP(B7,'Recipe Database'!A:D,4,FALSE))</f>
        <v/>
      </c>
      <c r="G7" s="16">
        <f>IFERROR(IF(F7="","",F7*SUMPRODUCT(('Recipe Database'!A$4:A$100=B7)*('Recipe Database'!F$4:F$100)*VLOOKUP('Recipe Database'!E$4:E$100,'Ingredient Prices'!A:E,5,FALSE))),"")</f>
        <v/>
      </c>
      <c r="H7" s="16">
        <f>IF(OR(G7="",C7=""),"",G7/C7)</f>
        <v/>
      </c>
      <c r="I7" s="4" t="n"/>
    </row>
    <row r="8">
      <c r="A8" s="4" t="n">
        <v>4</v>
      </c>
      <c r="B8" s="14" t="n"/>
      <c r="C8" s="14" t="n"/>
      <c r="D8" s="14" t="n"/>
      <c r="E8" s="24">
        <f>IF(C8="","",C8*D8)</f>
        <v/>
      </c>
      <c r="F8" s="25">
        <f>IF(B8="","",E8/VLOOKUP(B8,'Recipe Database'!A:D,4,FALSE))</f>
        <v/>
      </c>
      <c r="G8" s="16">
        <f>IFERROR(IF(F8="","",F8*SUMPRODUCT(('Recipe Database'!A$4:A$100=B8)*('Recipe Database'!F$4:F$100)*VLOOKUP('Recipe Database'!E$4:E$100,'Ingredient Prices'!A:E,5,FALSE))),"")</f>
        <v/>
      </c>
      <c r="H8" s="16">
        <f>IF(OR(G8="",C8=""),"",G8/C8)</f>
        <v/>
      </c>
      <c r="I8" s="4" t="n"/>
    </row>
    <row r="9">
      <c r="A9" s="4" t="n">
        <v>5</v>
      </c>
      <c r="B9" s="14" t="n"/>
      <c r="C9" s="14" t="n"/>
      <c r="D9" s="14" t="n"/>
      <c r="E9" s="24">
        <f>IF(C9="","",C9*D9)</f>
        <v/>
      </c>
      <c r="F9" s="25">
        <f>IF(B9="","",E9/VLOOKUP(B9,'Recipe Database'!A:D,4,FALSE))</f>
        <v/>
      </c>
      <c r="G9" s="16">
        <f>IFERROR(IF(F9="","",F9*SUMPRODUCT(('Recipe Database'!A$4:A$100=B9)*('Recipe Database'!F$4:F$100)*VLOOKUP('Recipe Database'!E$4:E$100,'Ingredient Prices'!A:E,5,FALSE))),"")</f>
        <v/>
      </c>
      <c r="H9" s="16">
        <f>IF(OR(G9="",C9=""),"",G9/C9)</f>
        <v/>
      </c>
      <c r="I9" s="4" t="n"/>
    </row>
    <row r="10">
      <c r="A10" s="4" t="n">
        <v>6</v>
      </c>
      <c r="B10" s="14" t="n"/>
      <c r="C10" s="14" t="n"/>
      <c r="D10" s="14" t="n"/>
      <c r="E10" s="24">
        <f>IF(C10="","",C10*D10)</f>
        <v/>
      </c>
      <c r="F10" s="25">
        <f>IF(B10="","",E10/VLOOKUP(B10,'Recipe Database'!A:D,4,FALSE))</f>
        <v/>
      </c>
      <c r="G10" s="16">
        <f>IFERROR(IF(F10="","",F10*SUMPRODUCT(('Recipe Database'!A$4:A$100=B10)*('Recipe Database'!F$4:F$100)*VLOOKUP('Recipe Database'!E$4:E$100,'Ingredient Prices'!A:E,5,FALSE))),"")</f>
        <v/>
      </c>
      <c r="H10" s="16">
        <f>IF(OR(G10="",C10=""),"",G10/C10)</f>
        <v/>
      </c>
      <c r="I10" s="4" t="n"/>
    </row>
    <row r="11">
      <c r="A11" s="4" t="n">
        <v>7</v>
      </c>
      <c r="B11" s="14" t="n"/>
      <c r="C11" s="14" t="n"/>
      <c r="D11" s="14" t="n"/>
      <c r="E11" s="24">
        <f>IF(C11="","",C11*D11)</f>
        <v/>
      </c>
      <c r="F11" s="25">
        <f>IF(B11="","",E11/VLOOKUP(B11,'Recipe Database'!A:D,4,FALSE))</f>
        <v/>
      </c>
      <c r="G11" s="16">
        <f>IFERROR(IF(F11="","",F11*SUMPRODUCT(('Recipe Database'!A$4:A$100=B11)*('Recipe Database'!F$4:F$100)*VLOOKUP('Recipe Database'!E$4:E$100,'Ingredient Prices'!A:E,5,FALSE))),"")</f>
        <v/>
      </c>
      <c r="H11" s="16">
        <f>IF(OR(G11="",C11=""),"",G11/C11)</f>
        <v/>
      </c>
      <c r="I11" s="4" t="n"/>
    </row>
    <row r="12">
      <c r="A12" s="4" t="n">
        <v>8</v>
      </c>
      <c r="B12" s="14" t="n"/>
      <c r="C12" s="14" t="n"/>
      <c r="D12" s="14" t="n"/>
      <c r="E12" s="24">
        <f>IF(C12="","",C12*D12)</f>
        <v/>
      </c>
      <c r="F12" s="25">
        <f>IF(B12="","",E12/VLOOKUP(B12,'Recipe Database'!A:D,4,FALSE))</f>
        <v/>
      </c>
      <c r="G12" s="16">
        <f>IFERROR(IF(F12="","",F12*SUMPRODUCT(('Recipe Database'!A$4:A$100=B12)*('Recipe Database'!F$4:F$100)*VLOOKUP('Recipe Database'!E$4:E$100,'Ingredient Prices'!A:E,5,FALSE))),"")</f>
        <v/>
      </c>
      <c r="H12" s="16">
        <f>IF(OR(G12="",C12=""),"",G12/C12)</f>
        <v/>
      </c>
      <c r="I12" s="4" t="n"/>
    </row>
    <row r="13">
      <c r="A13" s="4" t="n">
        <v>9</v>
      </c>
      <c r="B13" s="14" t="n"/>
      <c r="C13" s="14" t="n"/>
      <c r="D13" s="14" t="n"/>
      <c r="E13" s="24">
        <f>IF(C13="","",C13*D13)</f>
        <v/>
      </c>
      <c r="F13" s="25">
        <f>IF(B13="","",E13/VLOOKUP(B13,'Recipe Database'!A:D,4,FALSE))</f>
        <v/>
      </c>
      <c r="G13" s="16">
        <f>IFERROR(IF(F13="","",F13*SUMPRODUCT(('Recipe Database'!A$4:A$100=B13)*('Recipe Database'!F$4:F$100)*VLOOKUP('Recipe Database'!E$4:E$100,'Ingredient Prices'!A:E,5,FALSE))),"")</f>
        <v/>
      </c>
      <c r="H13" s="16">
        <f>IF(OR(G13="",C13=""),"",G13/C13)</f>
        <v/>
      </c>
      <c r="I13" s="4" t="n"/>
    </row>
    <row r="14">
      <c r="A14" s="4" t="n">
        <v>10</v>
      </c>
      <c r="B14" s="14" t="n"/>
      <c r="C14" s="14" t="n"/>
      <c r="D14" s="14" t="n"/>
      <c r="E14" s="24">
        <f>IF(C14="","",C14*D14)</f>
        <v/>
      </c>
      <c r="F14" s="25">
        <f>IF(B14="","",E14/VLOOKUP(B14,'Recipe Database'!A:D,4,FALSE))</f>
        <v/>
      </c>
      <c r="G14" s="16">
        <f>IFERROR(IF(F14="","",F14*SUMPRODUCT(('Recipe Database'!A$4:A$100=B14)*('Recipe Database'!F$4:F$100)*VLOOKUP('Recipe Database'!E$4:E$100,'Ingredient Prices'!A:E,5,FALSE))),"")</f>
        <v/>
      </c>
      <c r="H14" s="16">
        <f>IF(OR(G14="",C14=""),"",G14/C14)</f>
        <v/>
      </c>
      <c r="I14" s="4" t="n"/>
    </row>
    <row r="15">
      <c r="A15" s="4" t="n">
        <v>11</v>
      </c>
      <c r="B15" s="14" t="n"/>
      <c r="C15" s="14" t="n"/>
      <c r="D15" s="14" t="n"/>
      <c r="E15" s="24">
        <f>IF(C15="","",C15*D15)</f>
        <v/>
      </c>
      <c r="F15" s="25">
        <f>IF(B15="","",E15/VLOOKUP(B15,'Recipe Database'!A:D,4,FALSE))</f>
        <v/>
      </c>
      <c r="G15" s="16">
        <f>IFERROR(IF(F15="","",F15*SUMPRODUCT(('Recipe Database'!A$4:A$100=B15)*('Recipe Database'!F$4:F$100)*VLOOKUP('Recipe Database'!E$4:E$100,'Ingredient Prices'!A:E,5,FALSE))),"")</f>
        <v/>
      </c>
      <c r="H15" s="16">
        <f>IF(OR(G15="",C15=""),"",G15/C15)</f>
        <v/>
      </c>
      <c r="I15" s="4" t="n"/>
    </row>
    <row r="16">
      <c r="A16" s="4" t="n">
        <v>12</v>
      </c>
      <c r="B16" s="14" t="n"/>
      <c r="C16" s="14" t="n"/>
      <c r="D16" s="14" t="n"/>
      <c r="E16" s="24">
        <f>IF(C16="","",C16*D16)</f>
        <v/>
      </c>
      <c r="F16" s="25">
        <f>IF(B16="","",E16/VLOOKUP(B16,'Recipe Database'!A:D,4,FALSE))</f>
        <v/>
      </c>
      <c r="G16" s="16">
        <f>IFERROR(IF(F16="","",F16*SUMPRODUCT(('Recipe Database'!A$4:A$100=B16)*('Recipe Database'!F$4:F$100)*VLOOKUP('Recipe Database'!E$4:E$100,'Ingredient Prices'!A:E,5,FALSE))),"")</f>
        <v/>
      </c>
      <c r="H16" s="16">
        <f>IF(OR(G16="",C16=""),"",G16/C16)</f>
        <v/>
      </c>
      <c r="I16" s="4" t="n"/>
    </row>
    <row r="17">
      <c r="A17" s="4" t="n">
        <v>13</v>
      </c>
      <c r="B17" s="14" t="n"/>
      <c r="C17" s="14" t="n"/>
      <c r="D17" s="14" t="n"/>
      <c r="E17" s="24">
        <f>IF(C17="","",C17*D17)</f>
        <v/>
      </c>
      <c r="F17" s="25">
        <f>IF(B17="","",E17/VLOOKUP(B17,'Recipe Database'!A:D,4,FALSE))</f>
        <v/>
      </c>
      <c r="G17" s="16">
        <f>IFERROR(IF(F17="","",F17*SUMPRODUCT(('Recipe Database'!A$4:A$100=B17)*('Recipe Database'!F$4:F$100)*VLOOKUP('Recipe Database'!E$4:E$100,'Ingredient Prices'!A:E,5,FALSE))),"")</f>
        <v/>
      </c>
      <c r="H17" s="16">
        <f>IF(OR(G17="",C17=""),"",G17/C17)</f>
        <v/>
      </c>
      <c r="I17" s="4" t="n"/>
    </row>
    <row r="18">
      <c r="A18" s="4" t="n">
        <v>14</v>
      </c>
      <c r="B18" s="14" t="n"/>
      <c r="C18" s="14" t="n"/>
      <c r="D18" s="14" t="n"/>
      <c r="E18" s="24">
        <f>IF(C18="","",C18*D18)</f>
        <v/>
      </c>
      <c r="F18" s="25">
        <f>IF(B18="","",E18/VLOOKUP(B18,'Recipe Database'!A:D,4,FALSE))</f>
        <v/>
      </c>
      <c r="G18" s="16">
        <f>IFERROR(IF(F18="","",F18*SUMPRODUCT(('Recipe Database'!A$4:A$100=B18)*('Recipe Database'!F$4:F$100)*VLOOKUP('Recipe Database'!E$4:E$100,'Ingredient Prices'!A:E,5,FALSE))),"")</f>
        <v/>
      </c>
      <c r="H18" s="16">
        <f>IF(OR(G18="",C18=""),"",G18/C18)</f>
        <v/>
      </c>
      <c r="I18" s="4" t="n"/>
    </row>
    <row r="19">
      <c r="A19" s="4" t="n">
        <v>15</v>
      </c>
      <c r="B19" s="14" t="n"/>
      <c r="C19" s="14" t="n"/>
      <c r="D19" s="14" t="n"/>
      <c r="E19" s="24">
        <f>IF(C19="","",C19*D19)</f>
        <v/>
      </c>
      <c r="F19" s="25">
        <f>IF(B19="","",E19/VLOOKUP(B19,'Recipe Database'!A:D,4,FALSE))</f>
        <v/>
      </c>
      <c r="G19" s="16">
        <f>IFERROR(IF(F19="","",F19*SUMPRODUCT(('Recipe Database'!A$4:A$100=B19)*('Recipe Database'!F$4:F$100)*VLOOKUP('Recipe Database'!E$4:E$100,'Ingredient Prices'!A:E,5,FALSE))),"")</f>
        <v/>
      </c>
      <c r="H19" s="16">
        <f>IF(OR(G19="",C19=""),"",G19/C19)</f>
        <v/>
      </c>
      <c r="I19" s="4" t="n"/>
    </row>
    <row r="20">
      <c r="A20" s="4" t="n">
        <v>16</v>
      </c>
      <c r="B20" s="14" t="n"/>
      <c r="C20" s="14" t="n"/>
      <c r="D20" s="14" t="n"/>
      <c r="E20" s="24">
        <f>IF(C20="","",C20*D20)</f>
        <v/>
      </c>
      <c r="F20" s="25">
        <f>IF(B20="","",E20/VLOOKUP(B20,'Recipe Database'!A:D,4,FALSE))</f>
        <v/>
      </c>
      <c r="G20" s="16">
        <f>IFERROR(IF(F20="","",F20*SUMPRODUCT(('Recipe Database'!A$4:A$100=B20)*('Recipe Database'!F$4:F$100)*VLOOKUP('Recipe Database'!E$4:E$100,'Ingredient Prices'!A:E,5,FALSE))),"")</f>
        <v/>
      </c>
      <c r="H20" s="16">
        <f>IF(OR(G20="",C20=""),"",G20/C20)</f>
        <v/>
      </c>
      <c r="I20" s="4" t="n"/>
    </row>
    <row r="21">
      <c r="A21" s="4" t="n">
        <v>17</v>
      </c>
      <c r="B21" s="14" t="n"/>
      <c r="C21" s="14" t="n"/>
      <c r="D21" s="14" t="n"/>
      <c r="E21" s="24">
        <f>IF(C21="","",C21*D21)</f>
        <v/>
      </c>
      <c r="F21" s="25">
        <f>IF(B21="","",E21/VLOOKUP(B21,'Recipe Database'!A:D,4,FALSE))</f>
        <v/>
      </c>
      <c r="G21" s="16">
        <f>IFERROR(IF(F21="","",F21*SUMPRODUCT(('Recipe Database'!A$4:A$100=B21)*('Recipe Database'!F$4:F$100)*VLOOKUP('Recipe Database'!E$4:E$100,'Ingredient Prices'!A:E,5,FALSE))),"")</f>
        <v/>
      </c>
      <c r="H21" s="16">
        <f>IF(OR(G21="",C21=""),"",G21/C21)</f>
        <v/>
      </c>
      <c r="I21" s="4" t="n"/>
    </row>
    <row r="22">
      <c r="A22" s="4" t="n">
        <v>18</v>
      </c>
      <c r="B22" s="14" t="n"/>
      <c r="C22" s="14" t="n"/>
      <c r="D22" s="14" t="n"/>
      <c r="E22" s="24">
        <f>IF(C22="","",C22*D22)</f>
        <v/>
      </c>
      <c r="F22" s="25">
        <f>IF(B22="","",E22/VLOOKUP(B22,'Recipe Database'!A:D,4,FALSE))</f>
        <v/>
      </c>
      <c r="G22" s="16">
        <f>IFERROR(IF(F22="","",F22*SUMPRODUCT(('Recipe Database'!A$4:A$100=B22)*('Recipe Database'!F$4:F$100)*VLOOKUP('Recipe Database'!E$4:E$100,'Ingredient Prices'!A:E,5,FALSE))),"")</f>
        <v/>
      </c>
      <c r="H22" s="16">
        <f>IF(OR(G22="",C22=""),"",G22/C22)</f>
        <v/>
      </c>
      <c r="I22" s="4" t="n"/>
    </row>
    <row r="23">
      <c r="A23" s="4" t="n">
        <v>19</v>
      </c>
      <c r="B23" s="14" t="n"/>
      <c r="C23" s="14" t="n"/>
      <c r="D23" s="14" t="n"/>
      <c r="E23" s="24">
        <f>IF(C23="","",C23*D23)</f>
        <v/>
      </c>
      <c r="F23" s="25">
        <f>IF(B23="","",E23/VLOOKUP(B23,'Recipe Database'!A:D,4,FALSE))</f>
        <v/>
      </c>
      <c r="G23" s="16">
        <f>IFERROR(IF(F23="","",F23*SUMPRODUCT(('Recipe Database'!A$4:A$100=B23)*('Recipe Database'!F$4:F$100)*VLOOKUP('Recipe Database'!E$4:E$100,'Ingredient Prices'!A:E,5,FALSE))),"")</f>
        <v/>
      </c>
      <c r="H23" s="16">
        <f>IF(OR(G23="",C23=""),"",G23/C23)</f>
        <v/>
      </c>
      <c r="I23" s="4" t="n"/>
    </row>
    <row r="24">
      <c r="A24" s="4" t="n">
        <v>20</v>
      </c>
      <c r="B24" s="14" t="n"/>
      <c r="C24" s="14" t="n"/>
      <c r="D24" s="14" t="n"/>
      <c r="E24" s="24">
        <f>IF(C24="","",C24*D24)</f>
        <v/>
      </c>
      <c r="F24" s="25">
        <f>IF(B24="","",E24/VLOOKUP(B24,'Recipe Database'!A:D,4,FALSE))</f>
        <v/>
      </c>
      <c r="G24" s="16">
        <f>IFERROR(IF(F24="","",F24*SUMPRODUCT(('Recipe Database'!A$4:A$100=B24)*('Recipe Database'!F$4:F$100)*VLOOKUP('Recipe Database'!E$4:E$100,'Ingredient Prices'!A:E,5,FALSE))),"")</f>
        <v/>
      </c>
      <c r="H24" s="16">
        <f>IF(OR(G24="",C24=""),"",G24/C24)</f>
        <v/>
      </c>
      <c r="I24" s="4" t="n"/>
    </row>
    <row r="26">
      <c r="A26" s="26" t="inlineStr">
        <is>
          <t>TOTALS</t>
        </is>
      </c>
      <c r="B26" s="4" t="n"/>
      <c r="C26" s="26">
        <f>SUM(C5:C25)</f>
        <v/>
      </c>
      <c r="D26" s="4" t="n"/>
      <c r="E26" s="27">
        <f>SUM(E5:E25)</f>
        <v/>
      </c>
      <c r="F26" s="4" t="n"/>
      <c r="G26" s="28">
        <f>SUM(G5:G25)</f>
        <v/>
      </c>
      <c r="H26" s="4" t="n"/>
      <c r="I26" s="4" t="n"/>
    </row>
  </sheetData>
  <mergeCells count="2">
    <mergeCell ref="A1:I1"/>
    <mergeCell ref="A2:I2"/>
  </mergeCells>
  <dataValidations count="1">
    <dataValidation sqref="B5 B6 B7 B8 B9 B10 B11 B12 B13 B14 B15 B16 B17 B18 B19 B20 B21 B22 B23 B24" showDropDown="0" showInputMessage="0" showErrorMessage="0" allowBlank="0" errorTitle="Invalid Cookie Type" error="Please select a valid cookie type" type="list">
      <formula1>"Sugar Cookie,Snickerdoodle,Dark Chocolate Chip,Chocolate Chip,Lemon Sugar,Oatmeal Raisin"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🛒 INGREDIENT SHOPPING LIST</t>
        </is>
      </c>
    </row>
    <row r="2">
      <c r="A2" s="2" t="inlineStr">
        <is>
          <t>Enter amounts needed → see packages to buy and total cost</t>
        </is>
      </c>
    </row>
    <row r="4">
      <c r="A4" s="3" t="inlineStr">
        <is>
          <t>Ingredient</t>
        </is>
      </c>
      <c r="B4" s="3" t="inlineStr">
        <is>
          <t>Amount Needed</t>
        </is>
      </c>
      <c r="C4" s="3" t="inlineStr">
        <is>
          <t>Unit</t>
        </is>
      </c>
      <c r="D4" s="3" t="inlineStr">
        <is>
          <t>Pkg Size</t>
        </is>
      </c>
      <c r="E4" s="3" t="inlineStr">
        <is>
          <t>Pkgs to Buy</t>
        </is>
      </c>
      <c r="F4" s="3" t="inlineStr">
        <is>
          <t>Pkg Price</t>
        </is>
      </c>
      <c r="G4" s="3" t="inlineStr">
        <is>
          <t>Total Cost</t>
        </is>
      </c>
      <c r="H4" s="3" t="inlineStr">
        <is>
          <t>Notes</t>
        </is>
      </c>
    </row>
    <row r="5">
      <c r="A5" s="4" t="inlineStr">
        <is>
          <t>Unsalted Butter</t>
        </is>
      </c>
      <c r="B5" s="14" t="n"/>
      <c r="C5" s="4">
        <f>IFERROR(VLOOKUP(A5,'Ingredient Prices'!A:B,2,FALSE),"")</f>
        <v/>
      </c>
      <c r="D5" s="4">
        <f>IFERROR(VLOOKUP(A5,'Ingredient Prices'!A:C,3,FALSE),"")</f>
        <v/>
      </c>
      <c r="E5" s="4">
        <f>IF(B5="","",ROUNDUP(B5/D5,0))</f>
        <v/>
      </c>
      <c r="F5" s="29">
        <f>IFERROR(VLOOKUP(A5,'Ingredient Prices'!A:D,4,FALSE),"")</f>
        <v/>
      </c>
      <c r="G5" s="16">
        <f>IF(E5="","",E5*F5)</f>
        <v/>
      </c>
      <c r="H5" s="4" t="n"/>
    </row>
    <row r="6">
      <c r="A6" s="4" t="inlineStr">
        <is>
          <t>Granulated Sugar</t>
        </is>
      </c>
      <c r="B6" s="14" t="n"/>
      <c r="C6" s="4">
        <f>IFERROR(VLOOKUP(A6,'Ingredient Prices'!A:B,2,FALSE),"")</f>
        <v/>
      </c>
      <c r="D6" s="4">
        <f>IFERROR(VLOOKUP(A6,'Ingredient Prices'!A:C,3,FALSE),"")</f>
        <v/>
      </c>
      <c r="E6" s="4">
        <f>IF(B6="","",ROUNDUP(B6/D6,0))</f>
        <v/>
      </c>
      <c r="F6" s="29">
        <f>IFERROR(VLOOKUP(A6,'Ingredient Prices'!A:D,4,FALSE),"")</f>
        <v/>
      </c>
      <c r="G6" s="16">
        <f>IF(E6="","",E6*F6)</f>
        <v/>
      </c>
      <c r="H6" s="4" t="n"/>
    </row>
    <row r="7">
      <c r="A7" s="4" t="inlineStr">
        <is>
          <t>Brown Sugar (Light)</t>
        </is>
      </c>
      <c r="B7" s="14" t="n"/>
      <c r="C7" s="4">
        <f>IFERROR(VLOOKUP(A7,'Ingredient Prices'!A:B,2,FALSE),"")</f>
        <v/>
      </c>
      <c r="D7" s="4">
        <f>IFERROR(VLOOKUP(A7,'Ingredient Prices'!A:C,3,FALSE),"")</f>
        <v/>
      </c>
      <c r="E7" s="4">
        <f>IF(B7="","",ROUNDUP(B7/D7,0))</f>
        <v/>
      </c>
      <c r="F7" s="29">
        <f>IFERROR(VLOOKUP(A7,'Ingredient Prices'!A:D,4,FALSE),"")</f>
        <v/>
      </c>
      <c r="G7" s="16">
        <f>IF(E7="","",E7*F7)</f>
        <v/>
      </c>
      <c r="H7" s="4" t="n"/>
    </row>
    <row r="8">
      <c r="A8" s="4" t="inlineStr">
        <is>
          <t>Brown Sugar (Dark)</t>
        </is>
      </c>
      <c r="B8" s="14" t="n"/>
      <c r="C8" s="4">
        <f>IFERROR(VLOOKUP(A8,'Ingredient Prices'!A:B,2,FALSE),"")</f>
        <v/>
      </c>
      <c r="D8" s="4">
        <f>IFERROR(VLOOKUP(A8,'Ingredient Prices'!A:C,3,FALSE),"")</f>
        <v/>
      </c>
      <c r="E8" s="4">
        <f>IF(B8="","",ROUNDUP(B8/D8,0))</f>
        <v/>
      </c>
      <c r="F8" s="29">
        <f>IFERROR(VLOOKUP(A8,'Ingredient Prices'!A:D,4,FALSE),"")</f>
        <v/>
      </c>
      <c r="G8" s="16">
        <f>IF(E8="","",E8*F8)</f>
        <v/>
      </c>
      <c r="H8" s="4" t="n"/>
    </row>
    <row r="9">
      <c r="A9" s="4" t="inlineStr">
        <is>
          <t>Eggs (large)</t>
        </is>
      </c>
      <c r="B9" s="14" t="n"/>
      <c r="C9" s="4">
        <f>IFERROR(VLOOKUP(A9,'Ingredient Prices'!A:B,2,FALSE),"")</f>
        <v/>
      </c>
      <c r="D9" s="4">
        <f>IFERROR(VLOOKUP(A9,'Ingredient Prices'!A:C,3,FALSE),"")</f>
        <v/>
      </c>
      <c r="E9" s="4">
        <f>IF(B9="","",ROUNDUP(B9/D9,0))</f>
        <v/>
      </c>
      <c r="F9" s="29">
        <f>IFERROR(VLOOKUP(A9,'Ingredient Prices'!A:D,4,FALSE),"")</f>
        <v/>
      </c>
      <c r="G9" s="16">
        <f>IF(E9="","",E9*F9)</f>
        <v/>
      </c>
      <c r="H9" s="4" t="n"/>
    </row>
    <row r="10">
      <c r="A10" s="4" t="inlineStr">
        <is>
          <t>Egg Yolk</t>
        </is>
      </c>
      <c r="B10" s="14" t="n"/>
      <c r="C10" s="4">
        <f>IFERROR(VLOOKUP(A10,'Ingredient Prices'!A:B,2,FALSE),"")</f>
        <v/>
      </c>
      <c r="D10" s="4">
        <f>IFERROR(VLOOKUP(A10,'Ingredient Prices'!A:C,3,FALSE),"")</f>
        <v/>
      </c>
      <c r="E10" s="4">
        <f>IF(B10="","",ROUNDUP(B10/D10,0))</f>
        <v/>
      </c>
      <c r="F10" s="29">
        <f>IFERROR(VLOOKUP(A10,'Ingredient Prices'!A:D,4,FALSE),"")</f>
        <v/>
      </c>
      <c r="G10" s="16">
        <f>IF(E10="","",E10*F10)</f>
        <v/>
      </c>
      <c r="H10" s="4" t="n"/>
    </row>
    <row r="11">
      <c r="A11" s="4" t="inlineStr">
        <is>
          <t>Vanilla Extract</t>
        </is>
      </c>
      <c r="B11" s="14" t="n"/>
      <c r="C11" s="4">
        <f>IFERROR(VLOOKUP(A11,'Ingredient Prices'!A:B,2,FALSE),"")</f>
        <v/>
      </c>
      <c r="D11" s="4">
        <f>IFERROR(VLOOKUP(A11,'Ingredient Prices'!A:C,3,FALSE),"")</f>
        <v/>
      </c>
      <c r="E11" s="4">
        <f>IF(B11="","",ROUNDUP(B11/D11,0))</f>
        <v/>
      </c>
      <c r="F11" s="29">
        <f>IFERROR(VLOOKUP(A11,'Ingredient Prices'!A:D,4,FALSE),"")</f>
        <v/>
      </c>
      <c r="G11" s="16">
        <f>IF(E11="","",E11*F11)</f>
        <v/>
      </c>
      <c r="H11" s="4" t="n"/>
    </row>
    <row r="12">
      <c r="A12" s="4" t="inlineStr">
        <is>
          <t>Sour Cream</t>
        </is>
      </c>
      <c r="B12" s="14" t="n"/>
      <c r="C12" s="4">
        <f>IFERROR(VLOOKUP(A12,'Ingredient Prices'!A:B,2,FALSE),"")</f>
        <v/>
      </c>
      <c r="D12" s="4">
        <f>IFERROR(VLOOKUP(A12,'Ingredient Prices'!A:C,3,FALSE),"")</f>
        <v/>
      </c>
      <c r="E12" s="4">
        <f>IF(B12="","",ROUNDUP(B12/D12,0))</f>
        <v/>
      </c>
      <c r="F12" s="29">
        <f>IFERROR(VLOOKUP(A12,'Ingredient Prices'!A:D,4,FALSE),"")</f>
        <v/>
      </c>
      <c r="G12" s="16">
        <f>IF(E12="","",E12*F12)</f>
        <v/>
      </c>
      <c r="H12" s="4" t="n"/>
    </row>
    <row r="13">
      <c r="A13" s="4" t="inlineStr">
        <is>
          <t>Cream Cheese</t>
        </is>
      </c>
      <c r="B13" s="14" t="n"/>
      <c r="C13" s="4">
        <f>IFERROR(VLOOKUP(A13,'Ingredient Prices'!A:B,2,FALSE),"")</f>
        <v/>
      </c>
      <c r="D13" s="4">
        <f>IFERROR(VLOOKUP(A13,'Ingredient Prices'!A:C,3,FALSE),"")</f>
        <v/>
      </c>
      <c r="E13" s="4">
        <f>IF(B13="","",ROUNDUP(B13/D13,0))</f>
        <v/>
      </c>
      <c r="F13" s="29">
        <f>IFERROR(VLOOKUP(A13,'Ingredient Prices'!A:D,4,FALSE),"")</f>
        <v/>
      </c>
      <c r="G13" s="16">
        <f>IF(E13="","",E13*F13)</f>
        <v/>
      </c>
      <c r="H13" s="4" t="n"/>
    </row>
    <row r="14">
      <c r="A14" s="4" t="inlineStr">
        <is>
          <t>All-Purpose Flour</t>
        </is>
      </c>
      <c r="B14" s="14" t="n"/>
      <c r="C14" s="4">
        <f>IFERROR(VLOOKUP(A14,'Ingredient Prices'!A:B,2,FALSE),"")</f>
        <v/>
      </c>
      <c r="D14" s="4">
        <f>IFERROR(VLOOKUP(A14,'Ingredient Prices'!A:C,3,FALSE),"")</f>
        <v/>
      </c>
      <c r="E14" s="4">
        <f>IF(B14="","",ROUNDUP(B14/D14,0))</f>
        <v/>
      </c>
      <c r="F14" s="29">
        <f>IFERROR(VLOOKUP(A14,'Ingredient Prices'!A:D,4,FALSE),"")</f>
        <v/>
      </c>
      <c r="G14" s="16">
        <f>IF(E14="","",E14*F14)</f>
        <v/>
      </c>
      <c r="H14" s="4" t="n"/>
    </row>
    <row r="15">
      <c r="A15" s="4" t="inlineStr">
        <is>
          <t>Cornstarch</t>
        </is>
      </c>
      <c r="B15" s="14" t="n"/>
      <c r="C15" s="4">
        <f>IFERROR(VLOOKUP(A15,'Ingredient Prices'!A:B,2,FALSE),"")</f>
        <v/>
      </c>
      <c r="D15" s="4">
        <f>IFERROR(VLOOKUP(A15,'Ingredient Prices'!A:C,3,FALSE),"")</f>
        <v/>
      </c>
      <c r="E15" s="4">
        <f>IF(B15="","",ROUNDUP(B15/D15,0))</f>
        <v/>
      </c>
      <c r="F15" s="29">
        <f>IFERROR(VLOOKUP(A15,'Ingredient Prices'!A:D,4,FALSE),"")</f>
        <v/>
      </c>
      <c r="G15" s="16">
        <f>IF(E15="","",E15*F15)</f>
        <v/>
      </c>
      <c r="H15" s="4" t="n"/>
    </row>
    <row r="16">
      <c r="A16" s="4" t="inlineStr">
        <is>
          <t>Dutch-Process Cocoa</t>
        </is>
      </c>
      <c r="B16" s="14" t="n"/>
      <c r="C16" s="4">
        <f>IFERROR(VLOOKUP(A16,'Ingredient Prices'!A:B,2,FALSE),"")</f>
        <v/>
      </c>
      <c r="D16" s="4">
        <f>IFERROR(VLOOKUP(A16,'Ingredient Prices'!A:C,3,FALSE),"")</f>
        <v/>
      </c>
      <c r="E16" s="4">
        <f>IF(B16="","",ROUNDUP(B16/D16,0))</f>
        <v/>
      </c>
      <c r="F16" s="29">
        <f>IFERROR(VLOOKUP(A16,'Ingredient Prices'!A:D,4,FALSE),"")</f>
        <v/>
      </c>
      <c r="G16" s="16">
        <f>IF(E16="","",E16*F16)</f>
        <v/>
      </c>
      <c r="H16" s="4" t="n"/>
    </row>
    <row r="17">
      <c r="A17" s="4" t="inlineStr">
        <is>
          <t>Old-Fashioned Oats</t>
        </is>
      </c>
      <c r="B17" s="14" t="n"/>
      <c r="C17" s="4">
        <f>IFERROR(VLOOKUP(A17,'Ingredient Prices'!A:B,2,FALSE),"")</f>
        <v/>
      </c>
      <c r="D17" s="4">
        <f>IFERROR(VLOOKUP(A17,'Ingredient Prices'!A:C,3,FALSE),"")</f>
        <v/>
      </c>
      <c r="E17" s="4">
        <f>IF(B17="","",ROUNDUP(B17/D17,0))</f>
        <v/>
      </c>
      <c r="F17" s="29">
        <f>IFERROR(VLOOKUP(A17,'Ingredient Prices'!A:D,4,FALSE),"")</f>
        <v/>
      </c>
      <c r="G17" s="16">
        <f>IF(E17="","",E17*F17)</f>
        <v/>
      </c>
      <c r="H17" s="4" t="n"/>
    </row>
    <row r="18">
      <c r="A18" s="4" t="inlineStr">
        <is>
          <t>Baking Powder</t>
        </is>
      </c>
      <c r="B18" s="14" t="n"/>
      <c r="C18" s="4">
        <f>IFERROR(VLOOKUP(A18,'Ingredient Prices'!A:B,2,FALSE),"")</f>
        <v/>
      </c>
      <c r="D18" s="4">
        <f>IFERROR(VLOOKUP(A18,'Ingredient Prices'!A:C,3,FALSE),"")</f>
        <v/>
      </c>
      <c r="E18" s="4">
        <f>IF(B18="","",ROUNDUP(B18/D18,0))</f>
        <v/>
      </c>
      <c r="F18" s="29">
        <f>IFERROR(VLOOKUP(A18,'Ingredient Prices'!A:D,4,FALSE),"")</f>
        <v/>
      </c>
      <c r="G18" s="16">
        <f>IF(E18="","",E18*F18)</f>
        <v/>
      </c>
      <c r="H18" s="4" t="n"/>
    </row>
    <row r="19">
      <c r="A19" s="4" t="inlineStr">
        <is>
          <t>Baking Soda</t>
        </is>
      </c>
      <c r="B19" s="14" t="n"/>
      <c r="C19" s="4">
        <f>IFERROR(VLOOKUP(A19,'Ingredient Prices'!A:B,2,FALSE),"")</f>
        <v/>
      </c>
      <c r="D19" s="4">
        <f>IFERROR(VLOOKUP(A19,'Ingredient Prices'!A:C,3,FALSE),"")</f>
        <v/>
      </c>
      <c r="E19" s="4">
        <f>IF(B19="","",ROUNDUP(B19/D19,0))</f>
        <v/>
      </c>
      <c r="F19" s="29">
        <f>IFERROR(VLOOKUP(A19,'Ingredient Prices'!A:D,4,FALSE),"")</f>
        <v/>
      </c>
      <c r="G19" s="16">
        <f>IF(E19="","",E19*F19)</f>
        <v/>
      </c>
      <c r="H19" s="4" t="n"/>
    </row>
    <row r="20">
      <c r="A20" s="4" t="inlineStr">
        <is>
          <t>Cream of Tartar</t>
        </is>
      </c>
      <c r="B20" s="14" t="n"/>
      <c r="C20" s="4">
        <f>IFERROR(VLOOKUP(A20,'Ingredient Prices'!A:B,2,FALSE),"")</f>
        <v/>
      </c>
      <c r="D20" s="4">
        <f>IFERROR(VLOOKUP(A20,'Ingredient Prices'!A:C,3,FALSE),"")</f>
        <v/>
      </c>
      <c r="E20" s="4">
        <f>IF(B20="","",ROUNDUP(B20/D20,0))</f>
        <v/>
      </c>
      <c r="F20" s="29">
        <f>IFERROR(VLOOKUP(A20,'Ingredient Prices'!A:D,4,FALSE),"")</f>
        <v/>
      </c>
      <c r="G20" s="16">
        <f>IF(E20="","",E20*F20)</f>
        <v/>
      </c>
      <c r="H20" s="4" t="n"/>
    </row>
    <row r="21">
      <c r="A21" s="4" t="inlineStr">
        <is>
          <t>Ground Cinnamon</t>
        </is>
      </c>
      <c r="B21" s="14" t="n"/>
      <c r="C21" s="4">
        <f>IFERROR(VLOOKUP(A21,'Ingredient Prices'!A:B,2,FALSE),"")</f>
        <v/>
      </c>
      <c r="D21" s="4">
        <f>IFERROR(VLOOKUP(A21,'Ingredient Prices'!A:C,3,FALSE),"")</f>
        <v/>
      </c>
      <c r="E21" s="4">
        <f>IF(B21="","",ROUNDUP(B21/D21,0))</f>
        <v/>
      </c>
      <c r="F21" s="29">
        <f>IFERROR(VLOOKUP(A21,'Ingredient Prices'!A:D,4,FALSE),"")</f>
        <v/>
      </c>
      <c r="G21" s="16">
        <f>IF(E21="","",E21*F21)</f>
        <v/>
      </c>
      <c r="H21" s="4" t="n"/>
    </row>
    <row r="22">
      <c r="A22" s="4" t="inlineStr">
        <is>
          <t>Salt (Kosher)</t>
        </is>
      </c>
      <c r="B22" s="14" t="n"/>
      <c r="C22" s="4">
        <f>IFERROR(VLOOKUP(A22,'Ingredient Prices'!A:B,2,FALSE),"")</f>
        <v/>
      </c>
      <c r="D22" s="4">
        <f>IFERROR(VLOOKUP(A22,'Ingredient Prices'!A:C,3,FALSE),"")</f>
        <v/>
      </c>
      <c r="E22" s="4">
        <f>IF(B22="","",ROUNDUP(B22/D22,0))</f>
        <v/>
      </c>
      <c r="F22" s="29">
        <f>IFERROR(VLOOKUP(A22,'Ingredient Prices'!A:D,4,FALSE),"")</f>
        <v/>
      </c>
      <c r="G22" s="16">
        <f>IF(E22="","",E22*F22)</f>
        <v/>
      </c>
      <c r="H22" s="4" t="n"/>
    </row>
    <row r="23">
      <c r="A23" s="4" t="inlineStr">
        <is>
          <t>Flaky Sea Salt</t>
        </is>
      </c>
      <c r="B23" s="14" t="n"/>
      <c r="C23" s="4">
        <f>IFERROR(VLOOKUP(A23,'Ingredient Prices'!A:B,2,FALSE),"")</f>
        <v/>
      </c>
      <c r="D23" s="4">
        <f>IFERROR(VLOOKUP(A23,'Ingredient Prices'!A:C,3,FALSE),"")</f>
        <v/>
      </c>
      <c r="E23" s="4">
        <f>IF(B23="","",ROUNDUP(B23/D23,0))</f>
        <v/>
      </c>
      <c r="F23" s="29">
        <f>IFERROR(VLOOKUP(A23,'Ingredient Prices'!A:D,4,FALSE),"")</f>
        <v/>
      </c>
      <c r="G23" s="16">
        <f>IF(E23="","",E23*F23)</f>
        <v/>
      </c>
      <c r="H23" s="4" t="n"/>
    </row>
    <row r="24">
      <c r="A24" s="4" t="inlineStr">
        <is>
          <t>Espresso Powder</t>
        </is>
      </c>
      <c r="B24" s="14" t="n"/>
      <c r="C24" s="4">
        <f>IFERROR(VLOOKUP(A24,'Ingredient Prices'!A:B,2,FALSE),"")</f>
        <v/>
      </c>
      <c r="D24" s="4">
        <f>IFERROR(VLOOKUP(A24,'Ingredient Prices'!A:C,3,FALSE),"")</f>
        <v/>
      </c>
      <c r="E24" s="4">
        <f>IF(B24="","",ROUNDUP(B24/D24,0))</f>
        <v/>
      </c>
      <c r="F24" s="29">
        <f>IFERROR(VLOOKUP(A24,'Ingredient Prices'!A:D,4,FALSE),"")</f>
        <v/>
      </c>
      <c r="G24" s="16">
        <f>IF(E24="","",E24*F24)</f>
        <v/>
      </c>
      <c r="H24" s="4" t="n"/>
    </row>
    <row r="25">
      <c r="A25" s="4" t="inlineStr">
        <is>
          <t>Chocolate Chips</t>
        </is>
      </c>
      <c r="B25" s="14" t="n"/>
      <c r="C25" s="4">
        <f>IFERROR(VLOOKUP(A25,'Ingredient Prices'!A:B,2,FALSE),"")</f>
        <v/>
      </c>
      <c r="D25" s="4">
        <f>IFERROR(VLOOKUP(A25,'Ingredient Prices'!A:C,3,FALSE),"")</f>
        <v/>
      </c>
      <c r="E25" s="4">
        <f>IF(B25="","",ROUNDUP(B25/D25,0))</f>
        <v/>
      </c>
      <c r="F25" s="29">
        <f>IFERROR(VLOOKUP(A25,'Ingredient Prices'!A:D,4,FALSE),"")</f>
        <v/>
      </c>
      <c r="G25" s="16">
        <f>IF(E25="","",E25*F25)</f>
        <v/>
      </c>
      <c r="H25" s="4" t="n"/>
    </row>
    <row r="26">
      <c r="A26" s="4" t="inlineStr">
        <is>
          <t>Dark Chocolate Chunks</t>
        </is>
      </c>
      <c r="B26" s="14" t="n"/>
      <c r="C26" s="4">
        <f>IFERROR(VLOOKUP(A26,'Ingredient Prices'!A:B,2,FALSE),"")</f>
        <v/>
      </c>
      <c r="D26" s="4">
        <f>IFERROR(VLOOKUP(A26,'Ingredient Prices'!A:C,3,FALSE),"")</f>
        <v/>
      </c>
      <c r="E26" s="4">
        <f>IF(B26="","",ROUNDUP(B26/D26,0))</f>
        <v/>
      </c>
      <c r="F26" s="29">
        <f>IFERROR(VLOOKUP(A26,'Ingredient Prices'!A:D,4,FALSE),"")</f>
        <v/>
      </c>
      <c r="G26" s="16">
        <f>IF(E26="","",E26*F26)</f>
        <v/>
      </c>
      <c r="H26" s="4" t="n"/>
    </row>
    <row r="27">
      <c r="A27" s="4" t="inlineStr">
        <is>
          <t>Raisins</t>
        </is>
      </c>
      <c r="B27" s="14" t="n"/>
      <c r="C27" s="4">
        <f>IFERROR(VLOOKUP(A27,'Ingredient Prices'!A:B,2,FALSE),"")</f>
        <v/>
      </c>
      <c r="D27" s="4">
        <f>IFERROR(VLOOKUP(A27,'Ingredient Prices'!A:C,3,FALSE),"")</f>
        <v/>
      </c>
      <c r="E27" s="4">
        <f>IF(B27="","",ROUNDUP(B27/D27,0))</f>
        <v/>
      </c>
      <c r="F27" s="29">
        <f>IFERROR(VLOOKUP(A27,'Ingredient Prices'!A:D,4,FALSE),"")</f>
        <v/>
      </c>
      <c r="G27" s="16">
        <f>IF(E27="","",E27*F27)</f>
        <v/>
      </c>
      <c r="H27" s="4" t="n"/>
    </row>
    <row r="28">
      <c r="A28" s="4" t="inlineStr">
        <is>
          <t>Walnuts (chopped)</t>
        </is>
      </c>
      <c r="B28" s="14" t="n"/>
      <c r="C28" s="4">
        <f>IFERROR(VLOOKUP(A28,'Ingredient Prices'!A:B,2,FALSE),"")</f>
        <v/>
      </c>
      <c r="D28" s="4">
        <f>IFERROR(VLOOKUP(A28,'Ingredient Prices'!A:C,3,FALSE),"")</f>
        <v/>
      </c>
      <c r="E28" s="4">
        <f>IF(B28="","",ROUNDUP(B28/D28,0))</f>
        <v/>
      </c>
      <c r="F28" s="29">
        <f>IFERROR(VLOOKUP(A28,'Ingredient Prices'!A:D,4,FALSE),"")</f>
        <v/>
      </c>
      <c r="G28" s="16">
        <f>IF(E28="","",E28*F28)</f>
        <v/>
      </c>
      <c r="H28" s="4" t="n"/>
    </row>
    <row r="29">
      <c r="A29" s="4" t="inlineStr">
        <is>
          <t>Lemon Juice (fresh)</t>
        </is>
      </c>
      <c r="B29" s="14" t="n"/>
      <c r="C29" s="4">
        <f>IFERROR(VLOOKUP(A29,'Ingredient Prices'!A:B,2,FALSE),"")</f>
        <v/>
      </c>
      <c r="D29" s="4">
        <f>IFERROR(VLOOKUP(A29,'Ingredient Prices'!A:C,3,FALSE),"")</f>
        <v/>
      </c>
      <c r="E29" s="4">
        <f>IF(B29="","",ROUNDUP(B29/D29,0))</f>
        <v/>
      </c>
      <c r="F29" s="29">
        <f>IFERROR(VLOOKUP(A29,'Ingredient Prices'!A:D,4,FALSE),"")</f>
        <v/>
      </c>
      <c r="G29" s="16">
        <f>IF(E29="","",E29*F29)</f>
        <v/>
      </c>
      <c r="H29" s="4" t="n"/>
    </row>
    <row r="30">
      <c r="A30" s="4" t="inlineStr">
        <is>
          <t>Lemon Zest</t>
        </is>
      </c>
      <c r="B30" s="14" t="n"/>
      <c r="C30" s="4">
        <f>IFERROR(VLOOKUP(A30,'Ingredient Prices'!A:B,2,FALSE),"")</f>
        <v/>
      </c>
      <c r="D30" s="4">
        <f>IFERROR(VLOOKUP(A30,'Ingredient Prices'!A:C,3,FALSE),"")</f>
        <v/>
      </c>
      <c r="E30" s="4">
        <f>IF(B30="","",ROUNDUP(B30/D30,0))</f>
        <v/>
      </c>
      <c r="F30" s="29">
        <f>IFERROR(VLOOKUP(A30,'Ingredient Prices'!A:D,4,FALSE),"")</f>
        <v/>
      </c>
      <c r="G30" s="16">
        <f>IF(E30="","",E30*F30)</f>
        <v/>
      </c>
      <c r="H30" s="4" t="n"/>
    </row>
    <row r="31">
      <c r="F31" s="13" t="inlineStr">
        <is>
          <t>GRAND TOTAL:</t>
        </is>
      </c>
      <c r="G31" s="30">
        <f>SUM(G5:G30)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8" customWidth="1" min="3" max="3"/>
    <col width="12" customWidth="1" min="4" max="4"/>
  </cols>
  <sheetData>
    <row r="1">
      <c r="A1" s="1" t="inlineStr">
        <is>
          <t>📋 QUICK REFERENCE - COOKIE SIZES &amp; BAKE TIMES</t>
        </is>
      </c>
    </row>
    <row r="3">
      <c r="A3" s="31" t="inlineStr">
        <is>
          <t>Cookie</t>
        </is>
      </c>
      <c r="B3" s="31" t="inlineStr">
        <is>
          <t>Recommended Size (g)</t>
        </is>
      </c>
      <c r="C3" s="31" t="inlineStr">
        <is>
          <t>Oven Temp</t>
        </is>
      </c>
      <c r="D3" s="31" t="inlineStr">
        <is>
          <t>Bake Time</t>
        </is>
      </c>
    </row>
    <row r="4">
      <c r="A4" s="4" t="inlineStr">
        <is>
          <t>Sugar Cookie</t>
        </is>
      </c>
      <c r="B4" s="4" t="inlineStr">
        <is>
          <t>45-50g</t>
        </is>
      </c>
      <c r="C4" s="4" t="inlineStr">
        <is>
          <t>350°F (175°C)</t>
        </is>
      </c>
      <c r="D4" s="4" t="inlineStr">
        <is>
          <t>9-11 min</t>
        </is>
      </c>
    </row>
    <row r="5">
      <c r="A5" s="4" t="inlineStr">
        <is>
          <t>Snickerdoodle</t>
        </is>
      </c>
      <c r="B5" s="4" t="inlineStr">
        <is>
          <t>40g (sm) / 70-80g (lg)</t>
        </is>
      </c>
      <c r="C5" s="4" t="inlineStr">
        <is>
          <t>375°F (190°C)</t>
        </is>
      </c>
      <c r="D5" s="4" t="inlineStr">
        <is>
          <t>10 min</t>
        </is>
      </c>
    </row>
    <row r="6">
      <c r="A6" s="4" t="inlineStr">
        <is>
          <t>Dark Chocolate Chip</t>
        </is>
      </c>
      <c r="B6" s="4" t="inlineStr">
        <is>
          <t>110-120g</t>
        </is>
      </c>
      <c r="C6" s="4" t="inlineStr">
        <is>
          <t>375°F (190°C)</t>
        </is>
      </c>
      <c r="D6" s="4" t="inlineStr">
        <is>
          <t>12-14 min</t>
        </is>
      </c>
    </row>
    <row r="7">
      <c r="A7" s="4" t="inlineStr">
        <is>
          <t>Chocolate Chip</t>
        </is>
      </c>
      <c r="B7" s="4" t="inlineStr">
        <is>
          <t>40-70g / 80-100g (lg)</t>
        </is>
      </c>
      <c r="C7" s="4" t="inlineStr">
        <is>
          <t>350°F (175°C)</t>
        </is>
      </c>
      <c r="D7" s="4" t="inlineStr">
        <is>
          <t>10-12 min</t>
        </is>
      </c>
    </row>
    <row r="8">
      <c r="A8" s="4" t="inlineStr">
        <is>
          <t>Lemon Sugar</t>
        </is>
      </c>
      <c r="B8" s="4" t="inlineStr">
        <is>
          <t>30g / 45-55g (bakery)</t>
        </is>
      </c>
      <c r="C8" s="4" t="inlineStr">
        <is>
          <t>350°F (175°C)</t>
        </is>
      </c>
      <c r="D8" s="4" t="inlineStr">
        <is>
          <t>10-12 min</t>
        </is>
      </c>
    </row>
    <row r="9">
      <c r="A9" s="4" t="inlineStr">
        <is>
          <t>Oatmeal Raisin</t>
        </is>
      </c>
      <c r="B9" s="4" t="inlineStr">
        <is>
          <t>45-55g</t>
        </is>
      </c>
      <c r="C9" s="4" t="inlineStr">
        <is>
          <t>350°F (175°C)</t>
        </is>
      </c>
      <c r="D9" s="4" t="inlineStr">
        <is>
          <t>11-13 min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2025-12-09T23:59:01Z</dcterms:created>
  <dcterms:modified xmlns:dcterms="http://purl.org/dc/terms/" xmlns:xsi="http://www.w3.org/2001/XMLSchema-instance" xsi:type="dcterms:W3CDTF">2025-12-10T00:02:15Z</dcterms:modified>
</cp:coreProperties>
</file>